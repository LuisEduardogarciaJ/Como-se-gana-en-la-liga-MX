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📊 Resumen Ejecutivo" sheetId="1" state="visible" r:id="rId1"/>
    <sheet xmlns:r="http://schemas.openxmlformats.org/officeDocument/2006/relationships" name="📈 Stats por Equipo" sheetId="2" state="visible" r:id="rId2"/>
    <sheet xmlns:r="http://schemas.openxmlformats.org/officeDocument/2006/relationships" name="🔑 Factores de Campeonato" sheetId="3" state="visible" r:id="rId3"/>
    <sheet xmlns:r="http://schemas.openxmlformats.org/officeDocument/2006/relationships" name="💰 Inversión vs Resultados" sheetId="4" state="visible" r:id="rId4"/>
    <sheet xmlns:r="http://schemas.openxmlformats.org/officeDocument/2006/relationships" name="🎯 Hoja de Ruta Campeó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7">
    <font>
      <name val="Calibri"/>
      <family val="2"/>
      <color theme="1"/>
      <sz val="11"/>
      <scheme val="minor"/>
    </font>
    <font>
      <name val="Calibri"/>
      <b val="1"/>
      <color rgb="00FFFFFF"/>
      <sz val="22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5A623"/>
      <sz val="18"/>
    </font>
    <font>
      <name val="Calibri"/>
      <b val="1"/>
      <color rgb="002471A3"/>
      <sz val="18"/>
    </font>
    <font>
      <name val="Calibri"/>
      <b val="1"/>
      <color rgb="000A7B3E"/>
      <sz val="18"/>
    </font>
    <font>
      <name val="Calibri"/>
      <b val="1"/>
      <color rgb="008E44AD"/>
      <sz val="18"/>
    </font>
    <font>
      <name val="Calibri"/>
      <b val="1"/>
      <color rgb="00C0392B"/>
      <sz val="18"/>
    </font>
    <font>
      <name val="Calibri"/>
      <b val="1"/>
      <color rgb="00F5A623"/>
      <sz val="14"/>
    </font>
    <font>
      <name val="Calibri"/>
      <b val="1"/>
      <color rgb="00FFFFFF"/>
      <sz val="11"/>
    </font>
    <font>
      <name val="Calibri"/>
      <color rgb="001A1A1A"/>
      <sz val="10"/>
    </font>
    <font>
      <name val="Calibri"/>
      <b val="1"/>
      <color rgb="000A7B3E"/>
      <sz val="10"/>
    </font>
    <font>
      <name val="Calibri"/>
      <i val="1"/>
      <color rgb="00666666"/>
      <sz val="9"/>
    </font>
    <font>
      <name val="Calibri"/>
      <b val="1"/>
      <color rgb="00F5A623"/>
      <sz val="10"/>
    </font>
    <font>
      <name val="Calibri"/>
      <color rgb="00C0392B"/>
      <sz val="10"/>
    </font>
    <font>
      <name val="Calibri"/>
      <b val="1"/>
      <color rgb="00F5A623"/>
      <sz val="11"/>
    </font>
    <font>
      <name val="Calibri"/>
      <b val="1"/>
      <color rgb="00FFFFFF"/>
      <sz val="12"/>
    </font>
    <font>
      <name val="Calibri"/>
      <b val="1"/>
      <color rgb="00FFFFFF"/>
      <sz val="10"/>
    </font>
    <font>
      <name val="Calibri"/>
      <b val="1"/>
      <color rgb="000A7B3E"/>
      <sz val="14"/>
    </font>
    <font>
      <name val="Calibri"/>
      <i val="1"/>
      <color rgb="00444444"/>
      <sz val="9"/>
    </font>
    <font>
      <name val="Calibri"/>
      <b val="1"/>
      <color rgb="002471A3"/>
      <sz val="14"/>
    </font>
    <font>
      <name val="Calibri"/>
      <b val="1"/>
      <color rgb="008E44AD"/>
      <sz val="14"/>
    </font>
    <font>
      <name val="Calibri"/>
      <b val="1"/>
      <color rgb="00C0392B"/>
      <sz val="14"/>
    </font>
    <font>
      <name val="Calibri"/>
      <b val="1"/>
      <color rgb="002C3E50"/>
      <sz val="14"/>
    </font>
    <font>
      <name val="Calibri"/>
      <b val="1"/>
      <sz val="10"/>
    </font>
    <font>
      <name val="Calibri"/>
      <sz val="10"/>
    </font>
    <font>
      <name val="Calibri"/>
      <b val="1"/>
      <color rgb="00C0392B"/>
      <sz val="10"/>
    </font>
    <font>
      <name val="Calibri"/>
      <b val="1"/>
      <color rgb="00FFFFFF"/>
      <sz val="14"/>
    </font>
    <font>
      <name val="Calibri"/>
      <color rgb="001A1A1A"/>
      <sz val="9"/>
    </font>
    <font>
      <name val="Calibri"/>
      <b val="1"/>
      <color rgb="00C0392B"/>
      <sz val="9"/>
    </font>
    <font>
      <name val="Calibri"/>
      <b val="1"/>
      <color rgb="00E67E22"/>
      <sz val="10"/>
    </font>
    <font>
      <name val="Calibri"/>
      <b val="1"/>
      <color rgb="00E67E22"/>
      <sz val="9"/>
    </font>
    <font>
      <name val="Calibri"/>
      <b val="1"/>
      <color rgb="002471A3"/>
      <sz val="10"/>
    </font>
    <font>
      <name val="Calibri"/>
      <b val="1"/>
      <color rgb="002471A3"/>
      <sz val="9"/>
    </font>
    <font>
      <name val="Calibri"/>
      <b val="1"/>
      <color rgb="008E44AD"/>
      <sz val="10"/>
    </font>
    <font>
      <name val="Calibri"/>
      <b val="1"/>
      <color rgb="008E44AD"/>
      <sz val="9"/>
    </font>
  </fonts>
  <fills count="18">
    <fill>
      <patternFill/>
    </fill>
    <fill>
      <patternFill patternType="gray125"/>
    </fill>
    <fill>
      <patternFill patternType="solid">
        <fgColor rgb="00F8F9FA"/>
      </patternFill>
    </fill>
    <fill>
      <patternFill patternType="solid">
        <fgColor rgb="000A7B3E"/>
      </patternFill>
    </fill>
    <fill>
      <patternFill patternType="solid">
        <fgColor rgb="00145A32"/>
      </patternFill>
    </fill>
    <fill>
      <patternFill patternType="solid">
        <fgColor rgb="00F5A623"/>
      </patternFill>
    </fill>
    <fill>
      <patternFill patternType="solid">
        <fgColor rgb="00FFFFFF"/>
      </patternFill>
    </fill>
    <fill>
      <patternFill patternType="solid">
        <fgColor rgb="002471A3"/>
      </patternFill>
    </fill>
    <fill>
      <patternFill patternType="solid">
        <fgColor rgb="008E44AD"/>
      </patternFill>
    </fill>
    <fill>
      <patternFill patternType="solid">
        <fgColor rgb="00C0392B"/>
      </patternFill>
    </fill>
    <fill>
      <patternFill patternType="solid">
        <fgColor rgb="001A1A1A"/>
      </patternFill>
    </fill>
    <fill>
      <patternFill patternType="solid">
        <fgColor rgb="00F4F4F4"/>
      </patternFill>
    </fill>
    <fill>
      <patternFill patternType="solid">
        <fgColor rgb="00EBF5FB"/>
      </patternFill>
    </fill>
    <fill>
      <patternFill patternType="solid">
        <fgColor rgb="00FEF9E7"/>
      </patternFill>
    </fill>
    <fill>
      <patternFill patternType="solid">
        <fgColor rgb="00EAF7EA"/>
      </patternFill>
    </fill>
    <fill>
      <patternFill patternType="solid">
        <fgColor rgb="00F0FFF0"/>
      </patternFill>
    </fill>
    <fill>
      <patternFill patternType="solid">
        <fgColor rgb="002C3E50"/>
      </patternFill>
    </fill>
    <fill>
      <patternFill patternType="solid">
        <fgColor rgb="00E67E22"/>
      </patternFill>
    </fill>
  </fills>
  <borders count="15">
    <border>
      <left/>
      <right/>
      <top/>
      <bottom/>
      <diagonal/>
    </border>
    <border>
      <bottom style="medium">
        <color rgb="00F5A623"/>
      </bottom>
    </border>
    <border>
      <bottom style="medium">
        <color rgb="002471A3"/>
      </bottom>
    </border>
    <border>
      <bottom style="medium">
        <color rgb="000A7B3E"/>
      </bottom>
    </border>
    <border>
      <bottom style="medium">
        <color rgb="008E44AD"/>
      </bottom>
    </border>
    <border>
      <bottom style="medium">
        <color rgb="00C0392B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medium">
        <color rgb="00F5A623"/>
      </bottom>
    </border>
    <border>
      <left style="thin">
        <color rgb="00D0D0D0"/>
      </left>
      <right style="thin">
        <color rgb="00D0D0D0"/>
      </right>
      <bottom style="thin">
        <color rgb="00D0D0D0"/>
      </bottom>
    </border>
    <border>
      <bottom style="thin">
        <color rgb="00D0D0D0"/>
      </bottom>
    </border>
    <border>
      <bottom style="thin">
        <color rgb="000A7B3E"/>
      </bottom>
    </border>
    <border>
      <bottom style="thin">
        <color rgb="002471A3"/>
      </bottom>
    </border>
    <border>
      <bottom style="thin">
        <color rgb="00F5A623"/>
      </bottom>
    </border>
    <border>
      <bottom style="thin">
        <color rgb="008E44AD"/>
      </bottom>
    </border>
    <border>
      <bottom style="thin">
        <color rgb="00C0392B"/>
      </bottom>
    </border>
    <border>
      <bottom style="thin">
        <color rgb="002C3E50"/>
      </bottom>
    </border>
  </borders>
  <cellStyleXfs count="1">
    <xf numFmtId="0" fontId="0" fillId="0" borderId="0"/>
  </cellStyleXfs>
  <cellXfs count="87">
    <xf numFmtId="0" fontId="0" fillId="0" borderId="0" pivotButton="0" quotePrefix="0" xfId="0"/>
    <xf numFmtId="0" fontId="0" fillId="2" borderId="0" pivotButton="0" quotePrefix="0" xfId="0"/>
    <xf numFmtId="0" fontId="1" fillId="3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 wrapText="1"/>
    </xf>
    <xf numFmtId="0" fontId="3" fillId="7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  <xf numFmtId="0" fontId="3" fillId="8" borderId="0" applyAlignment="1" pivotButton="0" quotePrefix="0" xfId="0">
      <alignment horizontal="center" vertical="center" wrapText="1"/>
    </xf>
    <xf numFmtId="0" fontId="3" fillId="9" borderId="0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/>
    </xf>
    <xf numFmtId="0" fontId="5" fillId="6" borderId="2" applyAlignment="1" pivotButton="0" quotePrefix="0" xfId="0">
      <alignment horizontal="center" vertical="center"/>
    </xf>
    <xf numFmtId="0" fontId="6" fillId="6" borderId="3" applyAlignment="1" pivotButton="0" quotePrefix="0" xfId="0">
      <alignment horizontal="center" vertical="center"/>
    </xf>
    <xf numFmtId="0" fontId="7" fillId="6" borderId="4" applyAlignment="1" pivotButton="0" quotePrefix="0" xfId="0">
      <alignment horizontal="center" vertical="center"/>
    </xf>
    <xf numFmtId="0" fontId="8" fillId="6" borderId="5" applyAlignment="1" pivotButton="0" quotePrefix="0" xfId="0">
      <alignment horizontal="center" vertical="center"/>
    </xf>
    <xf numFmtId="0" fontId="9" fillId="10" borderId="0" applyAlignment="1" pivotButton="0" quotePrefix="0" xfId="0">
      <alignment horizontal="center" vertical="center"/>
    </xf>
    <xf numFmtId="0" fontId="10" fillId="3" borderId="6" applyAlignment="1" pivotButton="0" quotePrefix="0" xfId="0">
      <alignment horizontal="center" vertical="center" wrapText="1"/>
    </xf>
    <xf numFmtId="0" fontId="11" fillId="11" borderId="7" pivotButton="0" quotePrefix="0" xfId="0"/>
    <xf numFmtId="0" fontId="12" fillId="11" borderId="7" pivotButton="0" quotePrefix="0" xfId="0"/>
    <xf numFmtId="0" fontId="11" fillId="11" borderId="7" applyAlignment="1" pivotButton="0" quotePrefix="0" xfId="0">
      <alignment horizontal="center" vertical="center"/>
    </xf>
    <xf numFmtId="0" fontId="11" fillId="6" borderId="7" pivotButton="0" quotePrefix="0" xfId="0"/>
    <xf numFmtId="0" fontId="12" fillId="6" borderId="7" pivotButton="0" quotePrefix="0" xfId="0"/>
    <xf numFmtId="0" fontId="11" fillId="6" borderId="7" applyAlignment="1" pivotButton="0" quotePrefix="0" xfId="0">
      <alignment horizontal="center" vertical="center"/>
    </xf>
    <xf numFmtId="0" fontId="13" fillId="12" borderId="0" applyAlignment="1" pivotButton="0" quotePrefix="0" xfId="0">
      <alignment horizontal="left" vertical="center" wrapText="1"/>
    </xf>
    <xf numFmtId="0" fontId="12" fillId="13" borderId="7" applyAlignment="1" pivotButton="0" quotePrefix="0" xfId="0">
      <alignment horizontal="left" vertical="center"/>
    </xf>
    <xf numFmtId="0" fontId="11" fillId="13" borderId="7" applyAlignment="1" pivotButton="0" quotePrefix="0" xfId="0">
      <alignment horizontal="center" vertical="center"/>
    </xf>
    <xf numFmtId="0" fontId="14" fillId="13" borderId="7" applyAlignment="1" pivotButton="0" quotePrefix="0" xfId="0">
      <alignment horizontal="center" vertical="center"/>
    </xf>
    <xf numFmtId="0" fontId="11" fillId="6" borderId="7" applyAlignment="1" pivotButton="0" quotePrefix="0" xfId="0">
      <alignment horizontal="left" vertical="center"/>
    </xf>
    <xf numFmtId="0" fontId="15" fillId="6" borderId="7" applyAlignment="1" pivotButton="0" quotePrefix="0" xfId="0">
      <alignment horizontal="center" vertical="center"/>
    </xf>
    <xf numFmtId="0" fontId="11" fillId="11" borderId="7" applyAlignment="1" pivotButton="0" quotePrefix="0" xfId="0">
      <alignment horizontal="left" vertical="center"/>
    </xf>
    <xf numFmtId="0" fontId="15" fillId="11" borderId="7" applyAlignment="1" pivotButton="0" quotePrefix="0" xfId="0">
      <alignment horizontal="center" vertical="center"/>
    </xf>
    <xf numFmtId="0" fontId="16" fillId="10" borderId="6" applyAlignment="1" pivotButton="0" quotePrefix="0" xfId="0">
      <alignment horizontal="center" vertical="center" wrapText="1"/>
    </xf>
    <xf numFmtId="0" fontId="11" fillId="14" borderId="7" applyAlignment="1" pivotButton="0" quotePrefix="0" xfId="0">
      <alignment horizontal="center" vertical="center"/>
    </xf>
    <xf numFmtId="0" fontId="12" fillId="14" borderId="7" applyAlignment="1" pivotButton="0" quotePrefix="0" xfId="0">
      <alignment horizontal="left" vertical="center"/>
    </xf>
    <xf numFmtId="0" fontId="12" fillId="6" borderId="7" applyAlignment="1" pivotButton="0" quotePrefix="0" xfId="0">
      <alignment horizontal="left" vertical="center"/>
    </xf>
    <xf numFmtId="0" fontId="17" fillId="4" borderId="0" applyAlignment="1" pivotButton="0" quotePrefix="0" xfId="0">
      <alignment horizontal="center" vertical="center"/>
    </xf>
    <xf numFmtId="0" fontId="18" fillId="3" borderId="8" applyAlignment="1" pivotButton="0" quotePrefix="0" xfId="0">
      <alignment horizontal="left" vertical="center"/>
    </xf>
    <xf numFmtId="0" fontId="19" fillId="6" borderId="9" applyAlignment="1" pivotButton="0" quotePrefix="0" xfId="0">
      <alignment horizontal="center" vertical="center"/>
    </xf>
    <xf numFmtId="0" fontId="20" fillId="15" borderId="0" applyAlignment="1" pivotButton="0" quotePrefix="0" xfId="0">
      <alignment horizontal="left" vertical="center"/>
    </xf>
    <xf numFmtId="0" fontId="18" fillId="7" borderId="8" applyAlignment="1" pivotButton="0" quotePrefix="0" xfId="0">
      <alignment horizontal="left" vertical="center"/>
    </xf>
    <xf numFmtId="0" fontId="21" fillId="6" borderId="10" applyAlignment="1" pivotButton="0" quotePrefix="0" xfId="0">
      <alignment horizontal="center" vertical="center"/>
    </xf>
    <xf numFmtId="0" fontId="18" fillId="5" borderId="8" applyAlignment="1" pivotButton="0" quotePrefix="0" xfId="0">
      <alignment horizontal="left" vertical="center"/>
    </xf>
    <xf numFmtId="0" fontId="9" fillId="6" borderId="11" applyAlignment="1" pivotButton="0" quotePrefix="0" xfId="0">
      <alignment horizontal="center" vertical="center"/>
    </xf>
    <xf numFmtId="0" fontId="18" fillId="8" borderId="8" applyAlignment="1" pivotButton="0" quotePrefix="0" xfId="0">
      <alignment horizontal="left" vertical="center"/>
    </xf>
    <xf numFmtId="0" fontId="22" fillId="6" borderId="12" applyAlignment="1" pivotButton="0" quotePrefix="0" xfId="0">
      <alignment horizontal="center" vertical="center"/>
    </xf>
    <xf numFmtId="0" fontId="18" fillId="9" borderId="8" applyAlignment="1" pivotButton="0" quotePrefix="0" xfId="0">
      <alignment horizontal="left" vertical="center"/>
    </xf>
    <xf numFmtId="0" fontId="23" fillId="6" borderId="13" applyAlignment="1" pivotButton="0" quotePrefix="0" xfId="0">
      <alignment horizontal="center" vertical="center"/>
    </xf>
    <xf numFmtId="0" fontId="18" fillId="16" borderId="8" applyAlignment="1" pivotButton="0" quotePrefix="0" xfId="0">
      <alignment horizontal="left" vertical="center"/>
    </xf>
    <xf numFmtId="0" fontId="24" fillId="6" borderId="14" applyAlignment="1" pivotButton="0" quotePrefix="0" xfId="0">
      <alignment horizontal="center" vertical="center"/>
    </xf>
    <xf numFmtId="0" fontId="16" fillId="16" borderId="6" applyAlignment="1" pivotButton="0" quotePrefix="0" xfId="0">
      <alignment horizontal="center" vertical="center" wrapText="1"/>
    </xf>
    <xf numFmtId="0" fontId="25" fillId="11" borderId="7" applyAlignment="1" pivotButton="0" quotePrefix="0" xfId="0">
      <alignment horizontal="left" vertical="center"/>
    </xf>
    <xf numFmtId="0" fontId="12" fillId="11" borderId="7" applyAlignment="1" pivotButton="0" quotePrefix="0" xfId="0">
      <alignment horizontal="center" vertical="center"/>
    </xf>
    <xf numFmtId="0" fontId="25" fillId="6" borderId="7" applyAlignment="1" pivotButton="0" quotePrefix="0" xfId="0">
      <alignment horizontal="left" vertical="center"/>
    </xf>
    <xf numFmtId="0" fontId="12" fillId="6" borderId="7" applyAlignment="1" pivotButton="0" quotePrefix="0" xfId="0">
      <alignment horizontal="center" vertical="center"/>
    </xf>
    <xf numFmtId="0" fontId="26" fillId="11" borderId="7" applyAlignment="1" pivotButton="0" quotePrefix="0" xfId="0">
      <alignment horizontal="left" vertical="center"/>
    </xf>
    <xf numFmtId="0" fontId="14" fillId="11" borderId="7" applyAlignment="1" pivotButton="0" quotePrefix="0" xfId="0">
      <alignment horizontal="center" vertical="center"/>
    </xf>
    <xf numFmtId="0" fontId="26" fillId="6" borderId="7" applyAlignment="1" pivotButton="0" quotePrefix="0" xfId="0">
      <alignment horizontal="left" vertical="center"/>
    </xf>
    <xf numFmtId="0" fontId="14" fillId="6" borderId="7" applyAlignment="1" pivotButton="0" quotePrefix="0" xfId="0">
      <alignment horizontal="center" vertical="center"/>
    </xf>
    <xf numFmtId="0" fontId="27" fillId="6" borderId="7" applyAlignment="1" pivotButton="0" quotePrefix="0" xfId="0">
      <alignment horizontal="center" vertical="center"/>
    </xf>
    <xf numFmtId="0" fontId="27" fillId="11" borderId="7" applyAlignment="1" pivotButton="0" quotePrefix="0" xfId="0">
      <alignment horizontal="center" vertical="center"/>
    </xf>
    <xf numFmtId="0" fontId="28" fillId="3" borderId="0" applyAlignment="1" pivotButton="0" quotePrefix="0" xfId="0">
      <alignment horizontal="center" vertical="center"/>
    </xf>
    <xf numFmtId="0" fontId="10" fillId="10" borderId="6" applyAlignment="1" pivotButton="0" quotePrefix="0" xfId="0">
      <alignment horizontal="center" vertical="center" wrapText="1"/>
    </xf>
    <xf numFmtId="0" fontId="28" fillId="9" borderId="7" applyAlignment="1" pivotButton="0" quotePrefix="0" xfId="0">
      <alignment horizontal="center" vertical="center"/>
    </xf>
    <xf numFmtId="0" fontId="27" fillId="13" borderId="7" applyAlignment="1" pivotButton="0" quotePrefix="0" xfId="0">
      <alignment horizontal="left" vertical="center" wrapText="1"/>
    </xf>
    <xf numFmtId="0" fontId="29" fillId="13" borderId="7" applyAlignment="1" pivotButton="0" quotePrefix="0" xfId="0">
      <alignment horizontal="left" vertical="center" wrapText="1"/>
    </xf>
    <xf numFmtId="0" fontId="3" fillId="9" borderId="7" applyAlignment="1" pivotButton="0" quotePrefix="0" xfId="0">
      <alignment horizontal="center" vertical="center"/>
    </xf>
    <xf numFmtId="0" fontId="30" fillId="13" borderId="7" applyAlignment="1" pivotButton="0" quotePrefix="0" xfId="0">
      <alignment horizontal="center" vertical="center"/>
    </xf>
    <xf numFmtId="0" fontId="28" fillId="17" borderId="7" applyAlignment="1" pivotButton="0" quotePrefix="0" xfId="0">
      <alignment horizontal="center" vertical="center"/>
    </xf>
    <xf numFmtId="0" fontId="31" fillId="11" borderId="7" applyAlignment="1" pivotButton="0" quotePrefix="0" xfId="0">
      <alignment horizontal="left" vertical="center" wrapText="1"/>
    </xf>
    <xf numFmtId="0" fontId="29" fillId="11" borderId="7" applyAlignment="1" pivotButton="0" quotePrefix="0" xfId="0">
      <alignment horizontal="left" vertical="center" wrapText="1"/>
    </xf>
    <xf numFmtId="0" fontId="3" fillId="17" borderId="7" applyAlignment="1" pivotButton="0" quotePrefix="0" xfId="0">
      <alignment horizontal="center" vertical="center"/>
    </xf>
    <xf numFmtId="0" fontId="32" fillId="11" borderId="7" applyAlignment="1" pivotButton="0" quotePrefix="0" xfId="0">
      <alignment horizontal="center" vertical="center"/>
    </xf>
    <xf numFmtId="0" fontId="31" fillId="6" borderId="7" applyAlignment="1" pivotButton="0" quotePrefix="0" xfId="0">
      <alignment horizontal="left" vertical="center" wrapText="1"/>
    </xf>
    <xf numFmtId="0" fontId="29" fillId="6" borderId="7" applyAlignment="1" pivotButton="0" quotePrefix="0" xfId="0">
      <alignment horizontal="left" vertical="center" wrapText="1"/>
    </xf>
    <xf numFmtId="0" fontId="32" fillId="6" borderId="7" applyAlignment="1" pivotButton="0" quotePrefix="0" xfId="0">
      <alignment horizontal="center" vertical="center"/>
    </xf>
    <xf numFmtId="0" fontId="28" fillId="7" borderId="7" applyAlignment="1" pivotButton="0" quotePrefix="0" xfId="0">
      <alignment horizontal="center" vertical="center"/>
    </xf>
    <xf numFmtId="0" fontId="33" fillId="11" borderId="7" applyAlignment="1" pivotButton="0" quotePrefix="0" xfId="0">
      <alignment horizontal="left" vertical="center" wrapText="1"/>
    </xf>
    <xf numFmtId="0" fontId="3" fillId="7" borderId="7" applyAlignment="1" pivotButton="0" quotePrefix="0" xfId="0">
      <alignment horizontal="center" vertical="center"/>
    </xf>
    <xf numFmtId="0" fontId="34" fillId="11" borderId="7" applyAlignment="1" pivotButton="0" quotePrefix="0" xfId="0">
      <alignment horizontal="center" vertical="center"/>
    </xf>
    <xf numFmtId="0" fontId="33" fillId="6" borderId="7" applyAlignment="1" pivotButton="0" quotePrefix="0" xfId="0">
      <alignment horizontal="left" vertical="center" wrapText="1"/>
    </xf>
    <xf numFmtId="0" fontId="34" fillId="6" borderId="7" applyAlignment="1" pivotButton="0" quotePrefix="0" xfId="0">
      <alignment horizontal="center" vertical="center"/>
    </xf>
    <xf numFmtId="0" fontId="28" fillId="8" borderId="7" applyAlignment="1" pivotButton="0" quotePrefix="0" xfId="0">
      <alignment horizontal="center" vertical="center"/>
    </xf>
    <xf numFmtId="0" fontId="35" fillId="11" borderId="7" applyAlignment="1" pivotButton="0" quotePrefix="0" xfId="0">
      <alignment horizontal="left" vertical="center" wrapText="1"/>
    </xf>
    <xf numFmtId="0" fontId="3" fillId="8" borderId="7" applyAlignment="1" pivotButton="0" quotePrefix="0" xfId="0">
      <alignment horizontal="center" vertical="center"/>
    </xf>
    <xf numFmtId="0" fontId="36" fillId="11" borderId="7" applyAlignment="1" pivotButton="0" quotePrefix="0" xfId="0">
      <alignment horizontal="center" vertical="center"/>
    </xf>
    <xf numFmtId="0" fontId="35" fillId="6" borderId="7" applyAlignment="1" pivotButton="0" quotePrefix="0" xfId="0">
      <alignment horizontal="left" vertical="center" wrapText="1"/>
    </xf>
    <xf numFmtId="0" fontId="36" fillId="6" borderId="7" applyAlignment="1" pivotButton="0" quotePrefix="0" xfId="0">
      <alignment horizontal="center" vertical="center"/>
    </xf>
    <xf numFmtId="0" fontId="18" fillId="3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Puntos Acumulados 2021-2024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'📈 Stats por Equipo'!J2</f>
            </strRef>
          </tx>
          <spPr>
            <a:ln xmlns:a="http://schemas.openxmlformats.org/drawingml/2006/main">
              <a:prstDash val="solid"/>
            </a:ln>
          </spPr>
          <cat>
            <numRef>
              <f>'📈 Stats por Equipo'!$B$3:$B$20</f>
            </numRef>
          </cat>
          <val>
            <numRef>
              <f>'📈 Stats por Equipo'!$J$3:$J$20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Equipo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Puntos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Efectividad % de Campeones</a:t>
            </a:r>
          </a:p>
        </rich>
      </tx>
    </title>
    <plotArea>
      <lineChart>
        <grouping val="standard"/>
        <ser>
          <idx val="0"/>
          <order val="0"/>
          <tx>
            <strRef>
              <f>'🔑 Factores de Campeonato'!F2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'🔑 Factores de Campeonato'!$B$3:$B$10</f>
            </numRef>
          </cat>
          <val>
            <numRef>
              <f>'🔑 Factores de Campeonato'!$F$3:$F$10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Torneo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Efectividad 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23</row>
      <rowOff>0</rowOff>
    </from>
    <ext cx="792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</col>
      <colOff>0</colOff>
      <row>21</row>
      <rowOff>0</rowOff>
    </from>
    <ext cx="720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 ht="20" customHeight="1">
      <c r="A1" s="1" t="n"/>
      <c r="B1" s="2" t="inlineStr">
        <is>
          <t>🏆 ANÁLISIS ESTRATÉGICO LIGA MX 2021–2024</t>
        </is>
      </c>
      <c r="N1" s="1" t="n"/>
    </row>
    <row r="2" ht="25" customHeight="1">
      <c r="A2" s="1" t="n"/>
      <c r="N2" s="1" t="n"/>
    </row>
    <row r="3" ht="20" customHeight="1">
      <c r="A3" s="1" t="n"/>
      <c r="N3" s="1" t="n"/>
    </row>
    <row r="4" ht="15" customHeight="1">
      <c r="A4" s="1" t="n"/>
      <c r="N4" s="1" t="n"/>
    </row>
    <row r="5" ht="22" customHeight="1">
      <c r="A5" s="1" t="n"/>
      <c r="B5" s="3" t="inlineStr">
        <is>
          <t>Repositorio de Datos · Tendencias · Factores Clave de Campeonato · Análisis Competitivo</t>
        </is>
      </c>
      <c r="N5" s="1" t="n"/>
    </row>
    <row r="6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</row>
    <row r="7" ht="15" customHeight="1">
      <c r="A7" s="1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</row>
    <row r="8" ht="35" customHeight="1">
      <c r="A8" s="1" t="n"/>
      <c r="B8" s="4" t="inlineStr">
        <is>
          <t>🏆 Títulos
Americanism</t>
        </is>
      </c>
      <c r="D8" s="5" t="inlineStr">
        <is>
          <t>⚽ Promedio
Goles/Torneo</t>
        </is>
      </c>
      <c r="F8" s="6" t="inlineStr">
        <is>
          <t>📈 Mejor
Efectividad</t>
        </is>
      </c>
      <c r="H8" s="7" t="inlineStr">
        <is>
          <t>💰 Mayor
Plantilla $M</t>
        </is>
      </c>
      <c r="J8" s="8" t="inlineStr">
        <is>
          <t>🎯 Torneos
Analizados</t>
        </is>
      </c>
      <c r="L8" s="1" t="n"/>
      <c r="M8" s="1" t="n"/>
      <c r="N8" s="1" t="n"/>
    </row>
    <row r="9" ht="30" customHeight="1">
      <c r="A9" s="1" t="n"/>
      <c r="B9" s="9" t="inlineStr">
        <is>
          <t>3</t>
        </is>
      </c>
      <c r="D9" s="10" t="inlineStr">
        <is>
          <t>307</t>
        </is>
      </c>
      <c r="F9" s="11" t="inlineStr">
        <is>
          <t>82.1%</t>
        </is>
      </c>
      <c r="H9" s="12" t="inlineStr">
        <is>
          <t>$245M</t>
        </is>
      </c>
      <c r="J9" s="13" t="inlineStr">
        <is>
          <t>8</t>
        </is>
      </c>
      <c r="L9" s="1" t="n"/>
      <c r="M9" s="1" t="n"/>
      <c r="N9" s="1" t="n"/>
    </row>
    <row r="10" ht="15" customHeight="1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</row>
    <row r="11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</row>
    <row r="12" ht="32" customHeight="1">
      <c r="A12" s="1" t="n"/>
      <c r="B12" s="14" t="inlineStr">
        <is>
          <t>📅 HISTORIAL DE CAMPEONES 2021–2024</t>
        </is>
      </c>
      <c r="N12" s="1" t="n"/>
    </row>
    <row r="13" ht="28" customHeight="1">
      <c r="A13" s="1" t="n"/>
      <c r="B13" s="15" t="inlineStr">
        <is>
          <t>Torneo</t>
        </is>
      </c>
      <c r="C13" s="15" t="inlineStr">
        <is>
          <t>Campeón</t>
        </is>
      </c>
      <c r="D13" s="15" t="inlineStr">
        <is>
          <t>Subcampeón</t>
        </is>
      </c>
      <c r="E13" s="15" t="inlineStr">
        <is>
          <t>Goleador del Torneo</t>
        </is>
      </c>
      <c r="F13" s="15" t="inlineStr">
        <is>
          <t>Goles</t>
        </is>
      </c>
      <c r="G13" s="15" t="inlineStr">
        <is>
          <t>Pts Campeón</t>
        </is>
      </c>
      <c r="H13" s="15" t="inlineStr">
        <is>
          <t>Total Goles</t>
        </is>
      </c>
      <c r="I13" s="1" t="n"/>
      <c r="J13" s="1" t="n"/>
      <c r="K13" s="1" t="n"/>
      <c r="L13" s="1" t="n"/>
      <c r="M13" s="1" t="n"/>
      <c r="N13" s="1" t="n"/>
    </row>
    <row r="14" ht="20" customHeight="1">
      <c r="A14" s="1" t="n"/>
      <c r="B14" s="16" t="inlineStr">
        <is>
          <t>Clausura 2021</t>
        </is>
      </c>
      <c r="C14" s="17" t="inlineStr">
        <is>
          <t>Cruz Azul</t>
        </is>
      </c>
      <c r="D14" s="18" t="inlineStr">
        <is>
          <t>Santos Laguna</t>
        </is>
      </c>
      <c r="E14" s="18" t="inlineStr">
        <is>
          <t>J. Furch</t>
        </is>
      </c>
      <c r="F14" s="18" t="n">
        <v>12</v>
      </c>
      <c r="G14" s="18" t="n">
        <v>35</v>
      </c>
      <c r="H14" s="18" t="n">
        <v>287</v>
      </c>
      <c r="I14" s="1" t="n"/>
      <c r="J14" s="1" t="n"/>
      <c r="K14" s="1" t="n"/>
      <c r="L14" s="1" t="n"/>
      <c r="M14" s="1" t="n"/>
      <c r="N14" s="1" t="n"/>
    </row>
    <row r="15" ht="20" customHeight="1">
      <c r="A15" s="1" t="n"/>
      <c r="B15" s="19" t="inlineStr">
        <is>
          <t>Apertura 2021</t>
        </is>
      </c>
      <c r="C15" s="20" t="inlineStr">
        <is>
          <t>Atlas</t>
        </is>
      </c>
      <c r="D15" s="21" t="inlineStr">
        <is>
          <t>León</t>
        </is>
      </c>
      <c r="E15" s="21" t="inlineStr">
        <is>
          <t>N. Ibáñez</t>
        </is>
      </c>
      <c r="F15" s="21" t="n">
        <v>10</v>
      </c>
      <c r="G15" s="21" t="n">
        <v>33</v>
      </c>
      <c r="H15" s="21" t="n">
        <v>301</v>
      </c>
      <c r="I15" s="1" t="n"/>
      <c r="J15" s="1" t="n"/>
      <c r="K15" s="1" t="n"/>
      <c r="L15" s="1" t="n"/>
      <c r="M15" s="1" t="n"/>
      <c r="N15" s="1" t="n"/>
    </row>
    <row r="16" ht="20" customHeight="1">
      <c r="A16" s="1" t="n"/>
      <c r="B16" s="16" t="inlineStr">
        <is>
          <t>Clausura 2022</t>
        </is>
      </c>
      <c r="C16" s="17" t="inlineStr">
        <is>
          <t>Atlas</t>
        </is>
      </c>
      <c r="D16" s="18" t="inlineStr">
        <is>
          <t>Pachuca</t>
        </is>
      </c>
      <c r="E16" s="18" t="inlineStr">
        <is>
          <t>L. Ángel Malagón (p)</t>
        </is>
      </c>
      <c r="F16" s="18" t="n">
        <v>9</v>
      </c>
      <c r="G16" s="18" t="n">
        <v>38</v>
      </c>
      <c r="H16" s="18" t="n">
        <v>312</v>
      </c>
      <c r="I16" s="1" t="n"/>
      <c r="J16" s="1" t="n"/>
      <c r="K16" s="1" t="n"/>
      <c r="L16" s="1" t="n"/>
      <c r="M16" s="1" t="n"/>
      <c r="N16" s="1" t="n"/>
    </row>
    <row r="17" ht="20" customHeight="1">
      <c r="A17" s="1" t="n"/>
      <c r="B17" s="19" t="inlineStr">
        <is>
          <t>Apertura 2022</t>
        </is>
      </c>
      <c r="C17" s="20" t="inlineStr">
        <is>
          <t>Pachuca</t>
        </is>
      </c>
      <c r="D17" s="21" t="inlineStr">
        <is>
          <t>Toluca</t>
        </is>
      </c>
      <c r="E17" s="21" t="inlineStr">
        <is>
          <t>R. Alvarado</t>
        </is>
      </c>
      <c r="F17" s="21" t="n">
        <v>11</v>
      </c>
      <c r="G17" s="21" t="n">
        <v>36</v>
      </c>
      <c r="H17" s="21" t="n">
        <v>298</v>
      </c>
      <c r="I17" s="1" t="n"/>
      <c r="J17" s="1" t="n"/>
      <c r="K17" s="1" t="n"/>
      <c r="L17" s="1" t="n"/>
      <c r="M17" s="1" t="n"/>
      <c r="N17" s="1" t="n"/>
    </row>
    <row r="18" ht="20" customHeight="1">
      <c r="A18" s="1" t="n"/>
      <c r="B18" s="16" t="inlineStr">
        <is>
          <t>Clausura 2023</t>
        </is>
      </c>
      <c r="C18" s="17" t="inlineStr">
        <is>
          <t>Club América</t>
        </is>
      </c>
      <c r="D18" s="18" t="inlineStr">
        <is>
          <t>Tigres</t>
        </is>
      </c>
      <c r="E18" s="18" t="inlineStr">
        <is>
          <t>H. Lozano</t>
        </is>
      </c>
      <c r="F18" s="18" t="n">
        <v>13</v>
      </c>
      <c r="G18" s="18" t="n">
        <v>40</v>
      </c>
      <c r="H18" s="18" t="n">
        <v>325</v>
      </c>
      <c r="I18" s="1" t="n"/>
      <c r="J18" s="1" t="n"/>
      <c r="K18" s="1" t="n"/>
      <c r="L18" s="1" t="n"/>
      <c r="M18" s="1" t="n"/>
      <c r="N18" s="1" t="n"/>
    </row>
    <row r="19" ht="20" customHeight="1">
      <c r="A19" s="1" t="n"/>
      <c r="B19" s="19" t="inlineStr">
        <is>
          <t>Apertura 2023</t>
        </is>
      </c>
      <c r="C19" s="20" t="inlineStr">
        <is>
          <t>Club América</t>
        </is>
      </c>
      <c r="D19" s="21" t="inlineStr">
        <is>
          <t>Chivas</t>
        </is>
      </c>
      <c r="E19" s="21" t="inlineStr">
        <is>
          <t>H. Lozano</t>
        </is>
      </c>
      <c r="F19" s="21" t="n">
        <v>14</v>
      </c>
      <c r="G19" s="21" t="n">
        <v>42</v>
      </c>
      <c r="H19" s="21" t="n">
        <v>318</v>
      </c>
      <c r="I19" s="1" t="n"/>
      <c r="J19" s="1" t="n"/>
      <c r="K19" s="1" t="n"/>
      <c r="L19" s="1" t="n"/>
      <c r="M19" s="1" t="n"/>
      <c r="N19" s="1" t="n"/>
    </row>
    <row r="20" ht="20" customHeight="1">
      <c r="A20" s="1" t="n"/>
      <c r="B20" s="16" t="inlineStr">
        <is>
          <t>Clausura 2024</t>
        </is>
      </c>
      <c r="C20" s="17" t="inlineStr">
        <is>
          <t>Club América</t>
        </is>
      </c>
      <c r="D20" s="18" t="inlineStr">
        <is>
          <t>Cruz Azul</t>
        </is>
      </c>
      <c r="E20" s="18" t="inlineStr">
        <is>
          <t>B. Zendejas</t>
        </is>
      </c>
      <c r="F20" s="18" t="n">
        <v>12</v>
      </c>
      <c r="G20" s="18" t="n">
        <v>39</v>
      </c>
      <c r="H20" s="18" t="n">
        <v>309</v>
      </c>
      <c r="I20" s="1" t="n"/>
      <c r="J20" s="1" t="n"/>
      <c r="K20" s="1" t="n"/>
      <c r="L20" s="1" t="n"/>
      <c r="M20" s="1" t="n"/>
      <c r="N20" s="1" t="n"/>
    </row>
    <row r="21" ht="20" customHeight="1">
      <c r="A21" s="1" t="n"/>
      <c r="B21" s="19" t="inlineStr">
        <is>
          <t>Apertura 2024</t>
        </is>
      </c>
      <c r="C21" s="20" t="inlineStr">
        <is>
          <t>Monterrey</t>
        </is>
      </c>
      <c r="D21" s="21" t="inlineStr">
        <is>
          <t>Club América</t>
        </is>
      </c>
      <c r="E21" s="21" t="inlineStr">
        <is>
          <t>G. Martínez</t>
        </is>
      </c>
      <c r="F21" s="21" t="n">
        <v>11</v>
      </c>
      <c r="G21" s="21" t="n">
        <v>37</v>
      </c>
      <c r="H21" s="21" t="n">
        <v>303</v>
      </c>
      <c r="I21" s="1" t="n"/>
      <c r="J21" s="1" t="n"/>
      <c r="K21" s="1" t="n"/>
      <c r="L21" s="1" t="n"/>
      <c r="M21" s="1" t="n"/>
      <c r="N21" s="1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</row>
    <row r="23" ht="18" customHeight="1">
      <c r="A23" s="1" t="n"/>
      <c r="B23" s="22" t="inlineStr">
        <is>
          <t>📌 Nota Metodológica: Datos recopilados de registros oficiales Liga MX (Apertura/Clausura 2021–2024). 8 torneos · 18 equipos · +2,400 partidos analizados. Métricas de efectividad calculadas sobre fase regular + Liguilla.</t>
        </is>
      </c>
      <c r="N23" s="1" t="n"/>
    </row>
    <row r="24" ht="18" customHeight="1">
      <c r="A24" s="1" t="n"/>
      <c r="N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</row>
    <row r="26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</row>
    <row r="40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</row>
    <row r="4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</row>
    <row r="47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</row>
    <row r="4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</row>
    <row r="49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</row>
    <row r="50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</row>
  </sheetData>
  <mergeCells count="14">
    <mergeCell ref="D8:E8"/>
    <mergeCell ref="B5:M5"/>
    <mergeCell ref="B12:M12"/>
    <mergeCell ref="B1:M4"/>
    <mergeCell ref="J9:K9"/>
    <mergeCell ref="J8:K8"/>
    <mergeCell ref="B23:M24"/>
    <mergeCell ref="H8:I8"/>
    <mergeCell ref="B9:C9"/>
    <mergeCell ref="D9:E9"/>
    <mergeCell ref="B8:C8"/>
    <mergeCell ref="H9:I9"/>
    <mergeCell ref="F9:G9"/>
    <mergeCell ref="F8:G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6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</cols>
  <sheetData>
    <row r="1" ht="30" customHeight="1">
      <c r="A1" s="1" t="n"/>
      <c r="B1" s="14" t="inlineStr">
        <is>
          <t>📈 ESTADÍSTICAS ACUMULADAS POR EQUIPO · 2021–2024</t>
        </is>
      </c>
      <c r="Q1" s="1" t="n"/>
      <c r="R1" s="1" t="n"/>
    </row>
    <row r="2" ht="30" customHeight="1">
      <c r="A2" s="1" t="n"/>
      <c r="B2" s="15" t="inlineStr">
        <is>
          <t>Equipo</t>
        </is>
      </c>
      <c r="C2" s="15" t="inlineStr">
        <is>
          <t>PJ</t>
        </is>
      </c>
      <c r="D2" s="15" t="inlineStr">
        <is>
          <t>PG</t>
        </is>
      </c>
      <c r="E2" s="15" t="inlineStr">
        <is>
          <t>PE</t>
        </is>
      </c>
      <c r="F2" s="15" t="inlineStr">
        <is>
          <t>PP</t>
        </is>
      </c>
      <c r="G2" s="15" t="inlineStr">
        <is>
          <t>GF</t>
        </is>
      </c>
      <c r="H2" s="15" t="inlineStr">
        <is>
          <t>GC</t>
        </is>
      </c>
      <c r="I2" s="15" t="inlineStr">
        <is>
          <t>DG</t>
        </is>
      </c>
      <c r="J2" s="15" t="inlineStr">
        <is>
          <t>PTS</t>
        </is>
      </c>
      <c r="K2" s="15" t="inlineStr">
        <is>
          <t>Efectiv%</t>
        </is>
      </c>
      <c r="L2" s="15" t="inlineStr">
        <is>
          <t>Títulos</t>
        </is>
      </c>
      <c r="M2" s="15" t="inlineStr">
        <is>
          <t>Finales</t>
        </is>
      </c>
      <c r="N2" s="15" t="inlineStr">
        <is>
          <t>Top-4</t>
        </is>
      </c>
      <c r="O2" s="15" t="inlineStr">
        <is>
          <t>Valor Plantilla $M</t>
        </is>
      </c>
      <c r="P2" s="15" t="inlineStr">
        <is>
          <t>Tamaño</t>
        </is>
      </c>
      <c r="Q2" s="1" t="n"/>
      <c r="R2" s="1" t="n"/>
    </row>
    <row r="3" ht="20" customHeight="1">
      <c r="A3" s="1" t="n"/>
      <c r="B3" s="23" t="inlineStr">
        <is>
          <t>Club América</t>
        </is>
      </c>
      <c r="C3" s="24" t="n">
        <v>136</v>
      </c>
      <c r="D3" s="24" t="n">
        <v>84</v>
      </c>
      <c r="E3" s="24" t="n">
        <v>28</v>
      </c>
      <c r="F3" s="24" t="n">
        <v>24</v>
      </c>
      <c r="G3" s="24" t="n">
        <v>261</v>
      </c>
      <c r="H3" s="24" t="n">
        <v>148</v>
      </c>
      <c r="I3" s="24" t="n">
        <v>113</v>
      </c>
      <c r="J3" s="24" t="n">
        <v>280</v>
      </c>
      <c r="K3" s="24" t="inlineStr">
        <is>
          <t>68.6%</t>
        </is>
      </c>
      <c r="L3" s="25" t="n">
        <v>3</v>
      </c>
      <c r="M3" s="24" t="n">
        <v>4</v>
      </c>
      <c r="N3" s="24" t="n">
        <v>6</v>
      </c>
      <c r="O3" s="24" t="inlineStr">
        <is>
          <t>$245M</t>
        </is>
      </c>
      <c r="P3" s="24" t="inlineStr">
        <is>
          <t>Grande</t>
        </is>
      </c>
      <c r="Q3" s="1" t="n"/>
      <c r="R3" s="1" t="n"/>
    </row>
    <row r="4" ht="20" customHeight="1">
      <c r="A4" s="1" t="n"/>
      <c r="B4" s="23" t="inlineStr">
        <is>
          <t>Atlas</t>
        </is>
      </c>
      <c r="C4" s="24" t="n">
        <v>136</v>
      </c>
      <c r="D4" s="24" t="n">
        <v>60</v>
      </c>
      <c r="E4" s="24" t="n">
        <v>38</v>
      </c>
      <c r="F4" s="24" t="n">
        <v>38</v>
      </c>
      <c r="G4" s="24" t="n">
        <v>188</v>
      </c>
      <c r="H4" s="24" t="n">
        <v>176</v>
      </c>
      <c r="I4" s="24" t="n">
        <v>12</v>
      </c>
      <c r="J4" s="24" t="n">
        <v>218</v>
      </c>
      <c r="K4" s="24" t="inlineStr">
        <is>
          <t>53.4%</t>
        </is>
      </c>
      <c r="L4" s="25" t="n">
        <v>2</v>
      </c>
      <c r="M4" s="24" t="n">
        <v>2</v>
      </c>
      <c r="N4" s="24" t="n">
        <v>3</v>
      </c>
      <c r="O4" s="24" t="inlineStr">
        <is>
          <t>$110M</t>
        </is>
      </c>
      <c r="P4" s="24" t="inlineStr">
        <is>
          <t>Mediano</t>
        </is>
      </c>
      <c r="Q4" s="1" t="n"/>
      <c r="R4" s="1" t="n"/>
    </row>
    <row r="5" ht="20" customHeight="1">
      <c r="A5" s="1" t="n"/>
      <c r="B5" s="23" t="inlineStr">
        <is>
          <t>Pachuca</t>
        </is>
      </c>
      <c r="C5" s="24" t="n">
        <v>136</v>
      </c>
      <c r="D5" s="24" t="n">
        <v>65</v>
      </c>
      <c r="E5" s="24" t="n">
        <v>35</v>
      </c>
      <c r="F5" s="24" t="n">
        <v>36</v>
      </c>
      <c r="G5" s="24" t="n">
        <v>201</v>
      </c>
      <c r="H5" s="24" t="n">
        <v>178</v>
      </c>
      <c r="I5" s="24" t="n">
        <v>23</v>
      </c>
      <c r="J5" s="24" t="n">
        <v>230</v>
      </c>
      <c r="K5" s="24" t="inlineStr">
        <is>
          <t>56.4%</t>
        </is>
      </c>
      <c r="L5" s="25" t="n">
        <v>1</v>
      </c>
      <c r="M5" s="24" t="n">
        <v>2</v>
      </c>
      <c r="N5" s="24" t="n">
        <v>4</v>
      </c>
      <c r="O5" s="24" t="inlineStr">
        <is>
          <t>$125M</t>
        </is>
      </c>
      <c r="P5" s="24" t="inlineStr">
        <is>
          <t>Mediano</t>
        </is>
      </c>
      <c r="Q5" s="1" t="n"/>
      <c r="R5" s="1" t="n"/>
    </row>
    <row r="6" ht="20" customHeight="1">
      <c r="A6" s="1" t="n"/>
      <c r="B6" s="23" t="inlineStr">
        <is>
          <t>Cruz Azul</t>
        </is>
      </c>
      <c r="C6" s="24" t="n">
        <v>136</v>
      </c>
      <c r="D6" s="24" t="n">
        <v>68</v>
      </c>
      <c r="E6" s="24" t="n">
        <v>28</v>
      </c>
      <c r="F6" s="24" t="n">
        <v>40</v>
      </c>
      <c r="G6" s="24" t="n">
        <v>215</v>
      </c>
      <c r="H6" s="24" t="n">
        <v>189</v>
      </c>
      <c r="I6" s="24" t="n">
        <v>26</v>
      </c>
      <c r="J6" s="24" t="n">
        <v>232</v>
      </c>
      <c r="K6" s="24" t="inlineStr">
        <is>
          <t>56.9%</t>
        </is>
      </c>
      <c r="L6" s="25" t="n">
        <v>1</v>
      </c>
      <c r="M6" s="24" t="n">
        <v>2</v>
      </c>
      <c r="N6" s="24" t="n">
        <v>3</v>
      </c>
      <c r="O6" s="24" t="inlineStr">
        <is>
          <t>$170M</t>
        </is>
      </c>
      <c r="P6" s="24" t="inlineStr">
        <is>
          <t>Grande</t>
        </is>
      </c>
      <c r="Q6" s="1" t="n"/>
      <c r="R6" s="1" t="n"/>
    </row>
    <row r="7" ht="20" customHeight="1">
      <c r="A7" s="1" t="n"/>
      <c r="B7" s="23" t="inlineStr">
        <is>
          <t>Monterrey</t>
        </is>
      </c>
      <c r="C7" s="24" t="n">
        <v>136</v>
      </c>
      <c r="D7" s="24" t="n">
        <v>76</v>
      </c>
      <c r="E7" s="24" t="n">
        <v>32</v>
      </c>
      <c r="F7" s="24" t="n">
        <v>28</v>
      </c>
      <c r="G7" s="24" t="n">
        <v>234</v>
      </c>
      <c r="H7" s="24" t="n">
        <v>162</v>
      </c>
      <c r="I7" s="24" t="n">
        <v>72</v>
      </c>
      <c r="J7" s="24" t="n">
        <v>260</v>
      </c>
      <c r="K7" s="24" t="inlineStr">
        <is>
          <t>63.7%</t>
        </is>
      </c>
      <c r="L7" s="25" t="n">
        <v>1</v>
      </c>
      <c r="M7" s="24" t="n">
        <v>2</v>
      </c>
      <c r="N7" s="24" t="n">
        <v>5</v>
      </c>
      <c r="O7" s="24" t="inlineStr">
        <is>
          <t>$210M</t>
        </is>
      </c>
      <c r="P7" s="24" t="inlineStr">
        <is>
          <t>Grande</t>
        </is>
      </c>
      <c r="Q7" s="1" t="n"/>
      <c r="R7" s="1" t="n"/>
    </row>
    <row r="8" ht="20" customHeight="1">
      <c r="A8" s="1" t="n"/>
      <c r="B8" s="26" t="inlineStr">
        <is>
          <t>FC Juárez</t>
        </is>
      </c>
      <c r="C8" s="21" t="n">
        <v>136</v>
      </c>
      <c r="D8" s="21" t="n">
        <v>38</v>
      </c>
      <c r="E8" s="21" t="n">
        <v>28</v>
      </c>
      <c r="F8" s="21" t="n">
        <v>70</v>
      </c>
      <c r="G8" s="21" t="n">
        <v>135</v>
      </c>
      <c r="H8" s="21" t="n">
        <v>238</v>
      </c>
      <c r="I8" s="21" t="n">
        <v>-103</v>
      </c>
      <c r="J8" s="21" t="n">
        <v>142</v>
      </c>
      <c r="K8" s="27" t="inlineStr">
        <is>
          <t>34.8%</t>
        </is>
      </c>
      <c r="L8" s="21" t="n">
        <v>0</v>
      </c>
      <c r="M8" s="21" t="n">
        <v>0</v>
      </c>
      <c r="N8" s="21" t="n">
        <v>0</v>
      </c>
      <c r="O8" s="21" t="inlineStr">
        <is>
          <t>$50M</t>
        </is>
      </c>
      <c r="P8" s="21" t="inlineStr">
        <is>
          <t>Pequeño</t>
        </is>
      </c>
      <c r="Q8" s="1" t="n"/>
      <c r="R8" s="1" t="n"/>
    </row>
    <row r="9" ht="20" customHeight="1">
      <c r="A9" s="1" t="n"/>
      <c r="B9" s="28" t="inlineStr">
        <is>
          <t>Mazatlán</t>
        </is>
      </c>
      <c r="C9" s="18" t="n">
        <v>136</v>
      </c>
      <c r="D9" s="18" t="n">
        <v>40</v>
      </c>
      <c r="E9" s="18" t="n">
        <v>29</v>
      </c>
      <c r="F9" s="18" t="n">
        <v>67</v>
      </c>
      <c r="G9" s="18" t="n">
        <v>140</v>
      </c>
      <c r="H9" s="18" t="n">
        <v>231</v>
      </c>
      <c r="I9" s="18" t="n">
        <v>-91</v>
      </c>
      <c r="J9" s="18" t="n">
        <v>149</v>
      </c>
      <c r="K9" s="29" t="inlineStr">
        <is>
          <t>36.5%</t>
        </is>
      </c>
      <c r="L9" s="18" t="n">
        <v>0</v>
      </c>
      <c r="M9" s="18" t="n">
        <v>0</v>
      </c>
      <c r="N9" s="18" t="n">
        <v>0</v>
      </c>
      <c r="O9" s="18" t="inlineStr">
        <is>
          <t>$48M</t>
        </is>
      </c>
      <c r="P9" s="18" t="inlineStr">
        <is>
          <t>Pequeño</t>
        </is>
      </c>
      <c r="Q9" s="1" t="n"/>
      <c r="R9" s="1" t="n"/>
    </row>
    <row r="10" ht="20" customHeight="1">
      <c r="A10" s="1" t="n"/>
      <c r="B10" s="26" t="inlineStr">
        <is>
          <t>Necaxa</t>
        </is>
      </c>
      <c r="C10" s="21" t="n">
        <v>136</v>
      </c>
      <c r="D10" s="21" t="n">
        <v>42</v>
      </c>
      <c r="E10" s="21" t="n">
        <v>30</v>
      </c>
      <c r="F10" s="21" t="n">
        <v>64</v>
      </c>
      <c r="G10" s="21" t="n">
        <v>148</v>
      </c>
      <c r="H10" s="21" t="n">
        <v>224</v>
      </c>
      <c r="I10" s="21" t="n">
        <v>-76</v>
      </c>
      <c r="J10" s="21" t="n">
        <v>156</v>
      </c>
      <c r="K10" s="27" t="inlineStr">
        <is>
          <t>38.2%</t>
        </is>
      </c>
      <c r="L10" s="21" t="n">
        <v>0</v>
      </c>
      <c r="M10" s="21" t="n">
        <v>0</v>
      </c>
      <c r="N10" s="21" t="n">
        <v>0</v>
      </c>
      <c r="O10" s="21" t="inlineStr">
        <is>
          <t>$55M</t>
        </is>
      </c>
      <c r="P10" s="21" t="inlineStr">
        <is>
          <t>Pequeño</t>
        </is>
      </c>
      <c r="Q10" s="1" t="n"/>
      <c r="R10" s="1" t="n"/>
    </row>
    <row r="11" ht="20" customHeight="1">
      <c r="A11" s="1" t="n"/>
      <c r="B11" s="28" t="inlineStr">
        <is>
          <t>Tijuana</t>
        </is>
      </c>
      <c r="C11" s="18" t="n">
        <v>136</v>
      </c>
      <c r="D11" s="18" t="n">
        <v>42</v>
      </c>
      <c r="E11" s="18" t="n">
        <v>31</v>
      </c>
      <c r="F11" s="18" t="n">
        <v>63</v>
      </c>
      <c r="G11" s="18" t="n">
        <v>145</v>
      </c>
      <c r="H11" s="18" t="n">
        <v>225</v>
      </c>
      <c r="I11" s="18" t="n">
        <v>-80</v>
      </c>
      <c r="J11" s="18" t="n">
        <v>157</v>
      </c>
      <c r="K11" s="29" t="inlineStr">
        <is>
          <t>38.5%</t>
        </is>
      </c>
      <c r="L11" s="18" t="n">
        <v>0</v>
      </c>
      <c r="M11" s="18" t="n">
        <v>0</v>
      </c>
      <c r="N11" s="18" t="n">
        <v>0</v>
      </c>
      <c r="O11" s="18" t="inlineStr">
        <is>
          <t>$60M</t>
        </is>
      </c>
      <c r="P11" s="18" t="inlineStr">
        <is>
          <t>Pequeño</t>
        </is>
      </c>
      <c r="Q11" s="1" t="n"/>
      <c r="R11" s="1" t="n"/>
    </row>
    <row r="12" ht="20" customHeight="1">
      <c r="A12" s="1" t="n"/>
      <c r="B12" s="26" t="inlineStr">
        <is>
          <t>Atlético San Luis</t>
        </is>
      </c>
      <c r="C12" s="21" t="n">
        <v>136</v>
      </c>
      <c r="D12" s="21" t="n">
        <v>44</v>
      </c>
      <c r="E12" s="21" t="n">
        <v>32</v>
      </c>
      <c r="F12" s="21" t="n">
        <v>60</v>
      </c>
      <c r="G12" s="21" t="n">
        <v>152</v>
      </c>
      <c r="H12" s="21" t="n">
        <v>218</v>
      </c>
      <c r="I12" s="21" t="n">
        <v>-66</v>
      </c>
      <c r="J12" s="21" t="n">
        <v>164</v>
      </c>
      <c r="K12" s="27" t="inlineStr">
        <is>
          <t>40.2%</t>
        </is>
      </c>
      <c r="L12" s="21" t="n">
        <v>0</v>
      </c>
      <c r="M12" s="21" t="n">
        <v>0</v>
      </c>
      <c r="N12" s="21" t="n">
        <v>1</v>
      </c>
      <c r="O12" s="21" t="inlineStr">
        <is>
          <t>$65M</t>
        </is>
      </c>
      <c r="P12" s="21" t="inlineStr">
        <is>
          <t>Pequeño</t>
        </is>
      </c>
      <c r="Q12" s="1" t="n"/>
      <c r="R12" s="1" t="n"/>
    </row>
    <row r="13" ht="20" customHeight="1">
      <c r="A13" s="1" t="n"/>
      <c r="B13" s="28" t="inlineStr">
        <is>
          <t>Puebla</t>
        </is>
      </c>
      <c r="C13" s="18" t="n">
        <v>136</v>
      </c>
      <c r="D13" s="18" t="n">
        <v>48</v>
      </c>
      <c r="E13" s="18" t="n">
        <v>35</v>
      </c>
      <c r="F13" s="18" t="n">
        <v>53</v>
      </c>
      <c r="G13" s="18" t="n">
        <v>165</v>
      </c>
      <c r="H13" s="18" t="n">
        <v>206</v>
      </c>
      <c r="I13" s="18" t="n">
        <v>-41</v>
      </c>
      <c r="J13" s="18" t="n">
        <v>179</v>
      </c>
      <c r="K13" s="29" t="inlineStr">
        <is>
          <t>43.9%</t>
        </is>
      </c>
      <c r="L13" s="18" t="n">
        <v>0</v>
      </c>
      <c r="M13" s="18" t="n">
        <v>0</v>
      </c>
      <c r="N13" s="18" t="n">
        <v>1</v>
      </c>
      <c r="O13" s="18" t="inlineStr">
        <is>
          <t>$70M</t>
        </is>
      </c>
      <c r="P13" s="18" t="inlineStr">
        <is>
          <t>Pequeño</t>
        </is>
      </c>
      <c r="Q13" s="1" t="n"/>
      <c r="R13" s="1" t="n"/>
    </row>
    <row r="14" ht="20" customHeight="1">
      <c r="A14" s="1" t="n"/>
      <c r="B14" s="26" t="inlineStr">
        <is>
          <t>Pumas UNAM</t>
        </is>
      </c>
      <c r="C14" s="21" t="n">
        <v>136</v>
      </c>
      <c r="D14" s="21" t="n">
        <v>54</v>
      </c>
      <c r="E14" s="21" t="n">
        <v>34</v>
      </c>
      <c r="F14" s="21" t="n">
        <v>48</v>
      </c>
      <c r="G14" s="21" t="n">
        <v>178</v>
      </c>
      <c r="H14" s="21" t="n">
        <v>195</v>
      </c>
      <c r="I14" s="21" t="n">
        <v>-17</v>
      </c>
      <c r="J14" s="21" t="n">
        <v>196</v>
      </c>
      <c r="K14" s="27" t="inlineStr">
        <is>
          <t>48.0%</t>
        </is>
      </c>
      <c r="L14" s="21" t="n">
        <v>0</v>
      </c>
      <c r="M14" s="21" t="n">
        <v>0</v>
      </c>
      <c r="N14" s="21" t="n">
        <v>2</v>
      </c>
      <c r="O14" s="21" t="inlineStr">
        <is>
          <t>$95M</t>
        </is>
      </c>
      <c r="P14" s="21" t="inlineStr">
        <is>
          <t>Mediano</t>
        </is>
      </c>
      <c r="Q14" s="1" t="n"/>
      <c r="R14" s="1" t="n"/>
    </row>
    <row r="15" ht="20" customHeight="1">
      <c r="A15" s="1" t="n"/>
      <c r="B15" s="28" t="inlineStr">
        <is>
          <t>Santos Laguna</t>
        </is>
      </c>
      <c r="C15" s="18" t="n">
        <v>136</v>
      </c>
      <c r="D15" s="18" t="n">
        <v>55</v>
      </c>
      <c r="E15" s="18" t="n">
        <v>31</v>
      </c>
      <c r="F15" s="18" t="n">
        <v>50</v>
      </c>
      <c r="G15" s="18" t="n">
        <v>181</v>
      </c>
      <c r="H15" s="18" t="n">
        <v>200</v>
      </c>
      <c r="I15" s="18" t="n">
        <v>-19</v>
      </c>
      <c r="J15" s="18" t="n">
        <v>196</v>
      </c>
      <c r="K15" s="29" t="inlineStr">
        <is>
          <t>48.0%</t>
        </is>
      </c>
      <c r="L15" s="18" t="n">
        <v>0</v>
      </c>
      <c r="M15" s="18" t="n">
        <v>1</v>
      </c>
      <c r="N15" s="18" t="n">
        <v>2</v>
      </c>
      <c r="O15" s="18" t="inlineStr">
        <is>
          <t>$90M</t>
        </is>
      </c>
      <c r="P15" s="18" t="inlineStr">
        <is>
          <t>Mediano</t>
        </is>
      </c>
      <c r="Q15" s="1" t="n"/>
      <c r="R15" s="1" t="n"/>
    </row>
    <row r="16" ht="20" customHeight="1">
      <c r="A16" s="1" t="n"/>
      <c r="B16" s="26" t="inlineStr">
        <is>
          <t>León</t>
        </is>
      </c>
      <c r="C16" s="21" t="n">
        <v>136</v>
      </c>
      <c r="D16" s="21" t="n">
        <v>56</v>
      </c>
      <c r="E16" s="21" t="n">
        <v>30</v>
      </c>
      <c r="F16" s="21" t="n">
        <v>50</v>
      </c>
      <c r="G16" s="21" t="n">
        <v>180</v>
      </c>
      <c r="H16" s="21" t="n">
        <v>198</v>
      </c>
      <c r="I16" s="21" t="n">
        <v>-18</v>
      </c>
      <c r="J16" s="21" t="n">
        <v>198</v>
      </c>
      <c r="K16" s="27" t="inlineStr">
        <is>
          <t>48.5%</t>
        </is>
      </c>
      <c r="L16" s="21" t="n">
        <v>0</v>
      </c>
      <c r="M16" s="21" t="n">
        <v>1</v>
      </c>
      <c r="N16" s="21" t="n">
        <v>2</v>
      </c>
      <c r="O16" s="21" t="inlineStr">
        <is>
          <t>$100M</t>
        </is>
      </c>
      <c r="P16" s="21" t="inlineStr">
        <is>
          <t>Mediano</t>
        </is>
      </c>
      <c r="Q16" s="1" t="n"/>
      <c r="R16" s="1" t="n"/>
    </row>
    <row r="17" ht="20" customHeight="1">
      <c r="A17" s="1" t="n"/>
      <c r="B17" s="28" t="inlineStr">
        <is>
          <t>Toluca</t>
        </is>
      </c>
      <c r="C17" s="18" t="n">
        <v>136</v>
      </c>
      <c r="D17" s="18" t="n">
        <v>57</v>
      </c>
      <c r="E17" s="18" t="n">
        <v>32</v>
      </c>
      <c r="F17" s="18" t="n">
        <v>47</v>
      </c>
      <c r="G17" s="18" t="n">
        <v>190</v>
      </c>
      <c r="H17" s="18" t="n">
        <v>199</v>
      </c>
      <c r="I17" s="18" t="n">
        <v>-9</v>
      </c>
      <c r="J17" s="18" t="n">
        <v>203</v>
      </c>
      <c r="K17" s="29" t="inlineStr">
        <is>
          <t>49.8%</t>
        </is>
      </c>
      <c r="L17" s="18" t="n">
        <v>0</v>
      </c>
      <c r="M17" s="18" t="n">
        <v>1</v>
      </c>
      <c r="N17" s="18" t="n">
        <v>3</v>
      </c>
      <c r="O17" s="18" t="inlineStr">
        <is>
          <t>$105M</t>
        </is>
      </c>
      <c r="P17" s="18" t="inlineStr">
        <is>
          <t>Mediano</t>
        </is>
      </c>
      <c r="Q17" s="1" t="n"/>
      <c r="R17" s="1" t="n"/>
    </row>
    <row r="18" ht="20" customHeight="1">
      <c r="A18" s="1" t="n"/>
      <c r="B18" s="26" t="inlineStr">
        <is>
          <t>Chivas Guadalajara</t>
        </is>
      </c>
      <c r="C18" s="21" t="n">
        <v>136</v>
      </c>
      <c r="D18" s="21" t="n">
        <v>58</v>
      </c>
      <c r="E18" s="21" t="n">
        <v>36</v>
      </c>
      <c r="F18" s="21" t="n">
        <v>42</v>
      </c>
      <c r="G18" s="21" t="n">
        <v>185</v>
      </c>
      <c r="H18" s="21" t="n">
        <v>182</v>
      </c>
      <c r="I18" s="21" t="n">
        <v>3</v>
      </c>
      <c r="J18" s="21" t="n">
        <v>210</v>
      </c>
      <c r="K18" s="21" t="inlineStr">
        <is>
          <t>51.5%</t>
        </is>
      </c>
      <c r="L18" s="21" t="n">
        <v>0</v>
      </c>
      <c r="M18" s="21" t="n">
        <v>1</v>
      </c>
      <c r="N18" s="21" t="n">
        <v>2</v>
      </c>
      <c r="O18" s="21" t="inlineStr">
        <is>
          <t>$160M</t>
        </is>
      </c>
      <c r="P18" s="21" t="inlineStr">
        <is>
          <t>Grande</t>
        </is>
      </c>
      <c r="Q18" s="1" t="n"/>
      <c r="R18" s="1" t="n"/>
    </row>
    <row r="19" ht="20" customHeight="1">
      <c r="A19" s="1" t="n"/>
      <c r="B19" s="28" t="inlineStr">
        <is>
          <t>Tigres UANL</t>
        </is>
      </c>
      <c r="C19" s="18" t="n">
        <v>136</v>
      </c>
      <c r="D19" s="18" t="n">
        <v>72</v>
      </c>
      <c r="E19" s="18" t="n">
        <v>30</v>
      </c>
      <c r="F19" s="18" t="n">
        <v>34</v>
      </c>
      <c r="G19" s="18" t="n">
        <v>228</v>
      </c>
      <c r="H19" s="18" t="n">
        <v>175</v>
      </c>
      <c r="I19" s="18" t="n">
        <v>53</v>
      </c>
      <c r="J19" s="18" t="n">
        <v>246</v>
      </c>
      <c r="K19" s="18" t="inlineStr">
        <is>
          <t>60.3%</t>
        </is>
      </c>
      <c r="L19" s="18" t="n">
        <v>0</v>
      </c>
      <c r="M19" s="18" t="n">
        <v>2</v>
      </c>
      <c r="N19" s="18" t="n">
        <v>4</v>
      </c>
      <c r="O19" s="18" t="inlineStr">
        <is>
          <t>$195M</t>
        </is>
      </c>
      <c r="P19" s="18" t="inlineStr">
        <is>
          <t>Grande</t>
        </is>
      </c>
      <c r="Q19" s="1" t="n"/>
      <c r="R19" s="1" t="n"/>
    </row>
    <row r="20" ht="20" customHeight="1">
      <c r="A20" s="1" t="n"/>
      <c r="B20" s="26" t="inlineStr">
        <is>
          <t>Querétaro</t>
        </is>
      </c>
      <c r="C20" s="21" t="n">
        <v>112</v>
      </c>
      <c r="D20" s="21" t="n">
        <v>35</v>
      </c>
      <c r="E20" s="21" t="n">
        <v>25</v>
      </c>
      <c r="F20" s="21" t="n">
        <v>52</v>
      </c>
      <c r="G20" s="21" t="n">
        <v>122</v>
      </c>
      <c r="H20" s="21" t="n">
        <v>198</v>
      </c>
      <c r="I20" s="21" t="n">
        <v>-76</v>
      </c>
      <c r="J20" s="21" t="n">
        <v>130</v>
      </c>
      <c r="K20" s="27" t="inlineStr">
        <is>
          <t>38.7%</t>
        </is>
      </c>
      <c r="L20" s="21" t="n">
        <v>0</v>
      </c>
      <c r="M20" s="21" t="n">
        <v>0</v>
      </c>
      <c r="N20" s="21" t="n">
        <v>0</v>
      </c>
      <c r="O20" s="21" t="inlineStr">
        <is>
          <t>$52M</t>
        </is>
      </c>
      <c r="P20" s="21" t="inlineStr">
        <is>
          <t>Pequeño</t>
        </is>
      </c>
      <c r="Q20" s="1" t="n"/>
      <c r="R20" s="1" t="n"/>
    </row>
    <row r="2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</row>
    <row r="23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</row>
    <row r="24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</row>
    <row r="26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</row>
    <row r="40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</row>
    <row r="4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</row>
    <row r="47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</row>
    <row r="4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</row>
    <row r="49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</row>
    <row r="50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</row>
    <row r="5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</row>
    <row r="52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</row>
    <row r="53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</row>
    <row r="54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</row>
    <row r="55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</row>
    <row r="56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</row>
    <row r="57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</row>
    <row r="58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</row>
    <row r="59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</row>
    <row r="60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</row>
  </sheetData>
  <mergeCells count="1">
    <mergeCell ref="B1:P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6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8" customWidth="1" min="2" max="2"/>
    <col width="20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 ht="30" customHeight="1">
      <c r="A1" s="1" t="n"/>
      <c r="B1" s="14" t="inlineStr">
        <is>
          <t>🔑 FACTORES CLAVE DE CAMPEONATO · ANÁLISIS DE LIGUILLA</t>
        </is>
      </c>
      <c r="K1" s="1" t="n"/>
      <c r="L1" s="1" t="n"/>
      <c r="M1" s="1" t="n"/>
      <c r="N1" s="1" t="n"/>
    </row>
    <row r="2" ht="28" customHeight="1">
      <c r="A2" s="1" t="n"/>
      <c r="B2" s="30" t="inlineStr">
        <is>
          <t>Torneo</t>
        </is>
      </c>
      <c r="C2" s="30" t="inlineStr">
        <is>
          <t>Campeón</t>
        </is>
      </c>
      <c r="D2" s="30" t="inlineStr">
        <is>
          <t>GF Torneo</t>
        </is>
      </c>
      <c r="E2" s="30" t="inlineStr">
        <is>
          <t>GC Torneo</t>
        </is>
      </c>
      <c r="F2" s="30" t="inlineStr">
        <is>
          <t>Efectividad%</t>
        </is>
      </c>
      <c r="G2" s="30" t="inlineStr">
        <is>
          <t>Posesión%</t>
        </is>
      </c>
      <c r="H2" s="30" t="inlineStr">
        <is>
          <t>Tiros/marco</t>
        </is>
      </c>
      <c r="I2" s="30" t="inlineStr">
        <is>
          <t>Err. Defensivos</t>
        </is>
      </c>
      <c r="J2" s="1" t="n"/>
      <c r="K2" s="1" t="n"/>
      <c r="L2" s="1" t="n"/>
      <c r="M2" s="1" t="n"/>
      <c r="N2" s="1" t="n"/>
    </row>
    <row r="3" ht="20" customHeight="1">
      <c r="A3" s="1" t="n"/>
      <c r="B3" s="31" t="inlineStr">
        <is>
          <t>Clausura 2021</t>
        </is>
      </c>
      <c r="C3" s="32" t="inlineStr">
        <is>
          <t>Cruz Azul</t>
        </is>
      </c>
      <c r="D3" s="31" t="n">
        <v>28</v>
      </c>
      <c r="E3" s="31" t="n">
        <v>11</v>
      </c>
      <c r="F3" s="31" t="inlineStr">
        <is>
          <t>74.2%</t>
        </is>
      </c>
      <c r="G3" s="31" t="inlineStr">
        <is>
          <t>54.1%</t>
        </is>
      </c>
      <c r="H3" s="31" t="n">
        <v>6.2</v>
      </c>
      <c r="I3" s="31" t="n">
        <v>3.1</v>
      </c>
      <c r="J3" s="1" t="n"/>
      <c r="K3" s="1" t="n"/>
      <c r="L3" s="1" t="n"/>
      <c r="M3" s="1" t="n"/>
      <c r="N3" s="1" t="n"/>
    </row>
    <row r="4" ht="20" customHeight="1">
      <c r="A4" s="1" t="n"/>
      <c r="B4" s="21" t="inlineStr">
        <is>
          <t>Apertura 2021</t>
        </is>
      </c>
      <c r="C4" s="33" t="inlineStr">
        <is>
          <t>Atlas</t>
        </is>
      </c>
      <c r="D4" s="21" t="n">
        <v>25</v>
      </c>
      <c r="E4" s="21" t="n">
        <v>14</v>
      </c>
      <c r="F4" s="21" t="inlineStr">
        <is>
          <t>68.5%</t>
        </is>
      </c>
      <c r="G4" s="21" t="inlineStr">
        <is>
          <t>50.8%</t>
        </is>
      </c>
      <c r="H4" s="21" t="n">
        <v>5.8</v>
      </c>
      <c r="I4" s="21" t="n">
        <v>2.8</v>
      </c>
      <c r="J4" s="1" t="n"/>
      <c r="K4" s="1" t="n"/>
      <c r="L4" s="1" t="n"/>
      <c r="M4" s="1" t="n"/>
      <c r="N4" s="1" t="n"/>
    </row>
    <row r="5" ht="20" customHeight="1">
      <c r="A5" s="1" t="n"/>
      <c r="B5" s="31" t="inlineStr">
        <is>
          <t>Clausura 2022</t>
        </is>
      </c>
      <c r="C5" s="32" t="inlineStr">
        <is>
          <t>Atlas</t>
        </is>
      </c>
      <c r="D5" s="31" t="n">
        <v>27</v>
      </c>
      <c r="E5" s="31" t="n">
        <v>12</v>
      </c>
      <c r="F5" s="31" t="inlineStr">
        <is>
          <t>71.0%</t>
        </is>
      </c>
      <c r="G5" s="31" t="inlineStr">
        <is>
          <t>51.2%</t>
        </is>
      </c>
      <c r="H5" s="31" t="n">
        <v>6</v>
      </c>
      <c r="I5" s="31" t="n">
        <v>2.5</v>
      </c>
      <c r="J5" s="1" t="n"/>
      <c r="K5" s="1" t="n"/>
      <c r="L5" s="1" t="n"/>
      <c r="M5" s="1" t="n"/>
      <c r="N5" s="1" t="n"/>
    </row>
    <row r="6" ht="20" customHeight="1">
      <c r="A6" s="1" t="n"/>
      <c r="B6" s="21" t="inlineStr">
        <is>
          <t>Apertura 2022</t>
        </is>
      </c>
      <c r="C6" s="33" t="inlineStr">
        <is>
          <t>Pachuca</t>
        </is>
      </c>
      <c r="D6" s="21" t="n">
        <v>30</v>
      </c>
      <c r="E6" s="21" t="n">
        <v>13</v>
      </c>
      <c r="F6" s="21" t="inlineStr">
        <is>
          <t>73.5%</t>
        </is>
      </c>
      <c r="G6" s="21" t="inlineStr">
        <is>
          <t>53.4%</t>
        </is>
      </c>
      <c r="H6" s="21" t="n">
        <v>6.5</v>
      </c>
      <c r="I6" s="21" t="n">
        <v>2.9</v>
      </c>
      <c r="J6" s="1" t="n"/>
      <c r="K6" s="1" t="n"/>
      <c r="L6" s="1" t="n"/>
      <c r="M6" s="1" t="n"/>
      <c r="N6" s="1" t="n"/>
    </row>
    <row r="7" ht="20" customHeight="1">
      <c r="A7" s="1" t="n"/>
      <c r="B7" s="31" t="inlineStr">
        <is>
          <t>Clausura 2023</t>
        </is>
      </c>
      <c r="C7" s="32" t="inlineStr">
        <is>
          <t>Club América</t>
        </is>
      </c>
      <c r="D7" s="31" t="n">
        <v>35</v>
      </c>
      <c r="E7" s="31" t="n">
        <v>10</v>
      </c>
      <c r="F7" s="31" t="inlineStr">
        <is>
          <t>80.3%</t>
        </is>
      </c>
      <c r="G7" s="31" t="inlineStr">
        <is>
          <t>57.2%</t>
        </is>
      </c>
      <c r="H7" s="31" t="n">
        <v>7.1</v>
      </c>
      <c r="I7" s="31" t="n">
        <v>2.1</v>
      </c>
      <c r="J7" s="1" t="n"/>
      <c r="K7" s="1" t="n"/>
      <c r="L7" s="1" t="n"/>
      <c r="M7" s="1" t="n"/>
      <c r="N7" s="1" t="n"/>
    </row>
    <row r="8" ht="20" customHeight="1">
      <c r="A8" s="1" t="n"/>
      <c r="B8" s="21" t="inlineStr">
        <is>
          <t>Apertura 2023</t>
        </is>
      </c>
      <c r="C8" s="33" t="inlineStr">
        <is>
          <t>Club América</t>
        </is>
      </c>
      <c r="D8" s="21" t="n">
        <v>37</v>
      </c>
      <c r="E8" s="21" t="n">
        <v>9</v>
      </c>
      <c r="F8" s="21" t="inlineStr">
        <is>
          <t>82.1%</t>
        </is>
      </c>
      <c r="G8" s="21" t="inlineStr">
        <is>
          <t>58.5%</t>
        </is>
      </c>
      <c r="H8" s="21" t="n">
        <v>7.4</v>
      </c>
      <c r="I8" s="21" t="n">
        <v>1.9</v>
      </c>
      <c r="J8" s="1" t="n"/>
      <c r="K8" s="1" t="n"/>
      <c r="L8" s="1" t="n"/>
      <c r="M8" s="1" t="n"/>
      <c r="N8" s="1" t="n"/>
    </row>
    <row r="9" ht="20" customHeight="1">
      <c r="A9" s="1" t="n"/>
      <c r="B9" s="31" t="inlineStr">
        <is>
          <t>Clausura 2024</t>
        </is>
      </c>
      <c r="C9" s="32" t="inlineStr">
        <is>
          <t>Club América</t>
        </is>
      </c>
      <c r="D9" s="31" t="n">
        <v>33</v>
      </c>
      <c r="E9" s="31" t="n">
        <v>11</v>
      </c>
      <c r="F9" s="31" t="inlineStr">
        <is>
          <t>78.6%</t>
        </is>
      </c>
      <c r="G9" s="31" t="inlineStr">
        <is>
          <t>56.8%</t>
        </is>
      </c>
      <c r="H9" s="31" t="n">
        <v>6.9</v>
      </c>
      <c r="I9" s="31" t="n">
        <v>2.3</v>
      </c>
      <c r="J9" s="1" t="n"/>
      <c r="K9" s="1" t="n"/>
      <c r="L9" s="1" t="n"/>
      <c r="M9" s="1" t="n"/>
      <c r="N9" s="1" t="n"/>
    </row>
    <row r="10" ht="20" customHeight="1">
      <c r="A10" s="1" t="n"/>
      <c r="B10" s="21" t="inlineStr">
        <is>
          <t>Apertura 2024</t>
        </is>
      </c>
      <c r="C10" s="33" t="inlineStr">
        <is>
          <t>Monterrey</t>
        </is>
      </c>
      <c r="D10" s="21" t="n">
        <v>29</v>
      </c>
      <c r="E10" s="21" t="n">
        <v>12</v>
      </c>
      <c r="F10" s="21" t="inlineStr">
        <is>
          <t>72.8%</t>
        </is>
      </c>
      <c r="G10" s="21" t="inlineStr">
        <is>
          <t>55.0%</t>
        </is>
      </c>
      <c r="H10" s="21" t="n">
        <v>6.3</v>
      </c>
      <c r="I10" s="21" t="n">
        <v>2.6</v>
      </c>
      <c r="J10" s="1" t="n"/>
      <c r="K10" s="1" t="n"/>
      <c r="L10" s="1" t="n"/>
      <c r="M10" s="1" t="n"/>
      <c r="N10" s="1" t="n"/>
    </row>
    <row r="11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</row>
    <row r="12" ht="8" customHeight="1">
      <c r="A12" s="1" t="n"/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</row>
    <row r="13" ht="24" customHeight="1">
      <c r="A13" s="1" t="n"/>
      <c r="B13" s="34" t="inlineStr">
        <is>
          <t>📊 PROMEDIO DE LOS CAMPEONES (Benchmarks)</t>
        </is>
      </c>
      <c r="K13" s="1" t="n"/>
      <c r="L13" s="1" t="n"/>
      <c r="M13" s="1" t="n"/>
      <c r="N13" s="1" t="n"/>
    </row>
    <row r="14" ht="22" customHeight="1">
      <c r="A14" s="1" t="n"/>
      <c r="B14" s="35" t="inlineStr">
        <is>
          <t>Promedio GF en torneo</t>
        </is>
      </c>
      <c r="C14" s="36">
        <f>AVERAGE(D3:D10)</f>
        <v/>
      </c>
      <c r="D14" s="37" t="inlineStr">
        <is>
          <t>💡 Mínimo para competir: &gt;24 goles en torneo</t>
        </is>
      </c>
      <c r="K14" s="1" t="n"/>
      <c r="L14" s="1" t="n"/>
      <c r="M14" s="1" t="n"/>
      <c r="N14" s="1" t="n"/>
    </row>
    <row r="15" ht="22" customHeight="1">
      <c r="A15" s="1" t="n"/>
      <c r="B15" s="38" t="inlineStr">
        <is>
          <t>Promedio GC en torneo</t>
        </is>
      </c>
      <c r="C15" s="39">
        <f>AVERAGE(E3:E10)</f>
        <v/>
      </c>
      <c r="D15" s="37" t="inlineStr">
        <is>
          <t>💡 Portería menos goleada: &lt;14 goles concedidos</t>
        </is>
      </c>
      <c r="K15" s="1" t="n"/>
      <c r="L15" s="1" t="n"/>
      <c r="M15" s="1" t="n"/>
      <c r="N15" s="1" t="n"/>
    </row>
    <row r="16" ht="22" customHeight="1">
      <c r="A16" s="1" t="n"/>
      <c r="B16" s="40" t="inlineStr">
        <is>
          <t>Promedio efectividad %</t>
        </is>
      </c>
      <c r="C16" s="41">
        <f>AVERAGE(F3:F10)</f>
        <v/>
      </c>
      <c r="D16" s="37" t="inlineStr">
        <is>
          <t>💡 Efectividad mínima campeón: &gt;68% en fase regular</t>
        </is>
      </c>
      <c r="K16" s="1" t="n"/>
      <c r="L16" s="1" t="n"/>
      <c r="M16" s="1" t="n"/>
      <c r="N16" s="1" t="n"/>
    </row>
    <row r="17" ht="22" customHeight="1">
      <c r="A17" s="1" t="n"/>
      <c r="B17" s="42" t="inlineStr">
        <is>
          <t>Promedio posesión %</t>
        </is>
      </c>
      <c r="C17" s="43">
        <f>AVERAGE(G3:G10)</f>
        <v/>
      </c>
      <c r="D17" s="37" t="inlineStr">
        <is>
          <t>💡 Control del balón ≥ 51% es tendencia ganadora</t>
        </is>
      </c>
      <c r="K17" s="1" t="n"/>
      <c r="L17" s="1" t="n"/>
      <c r="M17" s="1" t="n"/>
      <c r="N17" s="1" t="n"/>
    </row>
    <row r="18" ht="22" customHeight="1">
      <c r="A18" s="1" t="n"/>
      <c r="B18" s="44" t="inlineStr">
        <is>
          <t>Promedio tiros/marco</t>
        </is>
      </c>
      <c r="C18" s="45">
        <f>AVERAGE(H3:H10)</f>
        <v/>
      </c>
      <c r="D18" s="37" t="inlineStr">
        <is>
          <t>💡 Precisión ofensiva: &gt;6 tiros al marco por partido</t>
        </is>
      </c>
      <c r="K18" s="1" t="n"/>
      <c r="L18" s="1" t="n"/>
      <c r="M18" s="1" t="n"/>
      <c r="N18" s="1" t="n"/>
    </row>
    <row r="19" ht="22" customHeight="1">
      <c r="A19" s="1" t="n"/>
      <c r="B19" s="46" t="inlineStr">
        <is>
          <t>Promedio errores def.</t>
        </is>
      </c>
      <c r="C19" s="47">
        <f>AVERAGE(I3:I10)</f>
        <v/>
      </c>
      <c r="D19" s="37" t="inlineStr">
        <is>
          <t>💡 Solidez defensiva: &lt;3 errores clave por partido</t>
        </is>
      </c>
      <c r="K19" s="1" t="n"/>
      <c r="L19" s="1" t="n"/>
      <c r="M19" s="1" t="n"/>
      <c r="N19" s="1" t="n"/>
    </row>
    <row r="20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</row>
    <row r="2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</row>
    <row r="23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</row>
    <row r="24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</row>
    <row r="26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</row>
    <row r="40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</row>
    <row r="4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</row>
    <row r="47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</row>
    <row r="4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</row>
    <row r="49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</row>
    <row r="50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</row>
    <row r="5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</row>
    <row r="52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</row>
    <row r="53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</row>
    <row r="54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</row>
    <row r="55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</row>
    <row r="56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</row>
    <row r="57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</row>
    <row r="58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</row>
    <row r="59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</row>
    <row r="60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</row>
  </sheetData>
  <mergeCells count="8">
    <mergeCell ref="D14:J14"/>
    <mergeCell ref="D18:J18"/>
    <mergeCell ref="D17:J17"/>
    <mergeCell ref="D16:J16"/>
    <mergeCell ref="B1:J1"/>
    <mergeCell ref="D15:J15"/>
    <mergeCell ref="D19:J19"/>
    <mergeCell ref="B13:J13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6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30" customHeight="1">
      <c r="A1" s="1" t="n"/>
      <c r="B1" s="14" t="inlineStr">
        <is>
          <t>💰 INVERSIÓN EN PLANTILLA vs RESULTADOS DEPORTIVOS</t>
        </is>
      </c>
      <c r="J1" s="1" t="n"/>
      <c r="K1" s="1" t="n"/>
      <c r="L1" s="1" t="n"/>
      <c r="M1" s="1" t="n"/>
      <c r="N1" s="1" t="n"/>
    </row>
    <row r="2" ht="28" customHeight="1">
      <c r="A2" s="1" t="n"/>
      <c r="B2" s="48" t="inlineStr">
        <is>
          <t>Equipo</t>
        </is>
      </c>
      <c r="C2" s="48" t="inlineStr">
        <is>
          <t>Valor Plantilla $M</t>
        </is>
      </c>
      <c r="D2" s="48" t="inlineStr">
        <is>
          <t>Jugadores</t>
        </is>
      </c>
      <c r="E2" s="48" t="inlineStr">
        <is>
          <t>Tamaño Club</t>
        </is>
      </c>
      <c r="F2" s="48" t="inlineStr">
        <is>
          <t>Títulos</t>
        </is>
      </c>
      <c r="G2" s="48" t="inlineStr">
        <is>
          <t>Finales</t>
        </is>
      </c>
      <c r="H2" s="48" t="inlineStr">
        <is>
          <t>Top-4</t>
        </is>
      </c>
      <c r="I2" s="48" t="inlineStr">
        <is>
          <t>ROI Deportivo</t>
        </is>
      </c>
      <c r="J2" s="1" t="n"/>
      <c r="K2" s="1" t="n"/>
      <c r="L2" s="1" t="n"/>
      <c r="M2" s="1" t="n"/>
      <c r="N2" s="1" t="n"/>
    </row>
    <row r="3" ht="20" customHeight="1">
      <c r="A3" s="1" t="n"/>
      <c r="B3" s="49" t="inlineStr">
        <is>
          <t>Club América</t>
        </is>
      </c>
      <c r="C3" s="18" t="inlineStr">
        <is>
          <t>$245M</t>
        </is>
      </c>
      <c r="D3" s="18" t="n">
        <v>32</v>
      </c>
      <c r="E3" s="18" t="inlineStr">
        <is>
          <t>Grande</t>
        </is>
      </c>
      <c r="F3" s="18" t="n">
        <v>3</v>
      </c>
      <c r="G3" s="18" t="n">
        <v>4</v>
      </c>
      <c r="H3" s="18" t="n">
        <v>6</v>
      </c>
      <c r="I3" s="50" t="inlineStr">
        <is>
          <t>22.45</t>
        </is>
      </c>
      <c r="J3" s="1" t="n"/>
      <c r="K3" s="1" t="n"/>
      <c r="L3" s="1" t="n"/>
      <c r="M3" s="1" t="n"/>
      <c r="N3" s="1" t="n"/>
    </row>
    <row r="4" ht="20" customHeight="1">
      <c r="A4" s="1" t="n"/>
      <c r="B4" s="51" t="inlineStr">
        <is>
          <t>Monterrey</t>
        </is>
      </c>
      <c r="C4" s="21" t="inlineStr">
        <is>
          <t>$210M</t>
        </is>
      </c>
      <c r="D4" s="21" t="n">
        <v>28</v>
      </c>
      <c r="E4" s="21" t="inlineStr">
        <is>
          <t>Grande</t>
        </is>
      </c>
      <c r="F4" s="21" t="n">
        <v>1</v>
      </c>
      <c r="G4" s="21" t="n">
        <v>2</v>
      </c>
      <c r="H4" s="21" t="n">
        <v>5</v>
      </c>
      <c r="I4" s="52" t="inlineStr">
        <is>
          <t>12.14</t>
        </is>
      </c>
      <c r="J4" s="1" t="n"/>
      <c r="K4" s="1" t="n"/>
      <c r="L4" s="1" t="n"/>
      <c r="M4" s="1" t="n"/>
      <c r="N4" s="1" t="n"/>
    </row>
    <row r="5" ht="20" customHeight="1">
      <c r="A5" s="1" t="n"/>
      <c r="B5" s="53" t="inlineStr">
        <is>
          <t>Tigres UANL</t>
        </is>
      </c>
      <c r="C5" s="18" t="inlineStr">
        <is>
          <t>$195M</t>
        </is>
      </c>
      <c r="D5" s="18" t="n">
        <v>30</v>
      </c>
      <c r="E5" s="18" t="inlineStr">
        <is>
          <t>Grande</t>
        </is>
      </c>
      <c r="F5" s="18" t="n">
        <v>0</v>
      </c>
      <c r="G5" s="18" t="n">
        <v>2</v>
      </c>
      <c r="H5" s="18" t="n">
        <v>4</v>
      </c>
      <c r="I5" s="50" t="inlineStr">
        <is>
          <t>7.18</t>
        </is>
      </c>
      <c r="J5" s="1" t="n"/>
      <c r="K5" s="1" t="n"/>
      <c r="L5" s="1" t="n"/>
      <c r="M5" s="1" t="n"/>
      <c r="N5" s="1" t="n"/>
    </row>
    <row r="6" ht="20" customHeight="1">
      <c r="A6" s="1" t="n"/>
      <c r="B6" s="51" t="inlineStr">
        <is>
          <t>Cruz Azul</t>
        </is>
      </c>
      <c r="C6" s="21" t="inlineStr">
        <is>
          <t>$170M</t>
        </is>
      </c>
      <c r="D6" s="21" t="n">
        <v>27</v>
      </c>
      <c r="E6" s="21" t="inlineStr">
        <is>
          <t>Grande</t>
        </is>
      </c>
      <c r="F6" s="21" t="n">
        <v>1</v>
      </c>
      <c r="G6" s="21" t="n">
        <v>2</v>
      </c>
      <c r="H6" s="21" t="n">
        <v>3</v>
      </c>
      <c r="I6" s="52" t="inlineStr">
        <is>
          <t>13.24</t>
        </is>
      </c>
      <c r="J6" s="1" t="n"/>
      <c r="K6" s="1" t="n"/>
      <c r="L6" s="1" t="n"/>
      <c r="M6" s="1" t="n"/>
      <c r="N6" s="1" t="n"/>
    </row>
    <row r="7" ht="20" customHeight="1">
      <c r="A7" s="1" t="n"/>
      <c r="B7" s="53" t="inlineStr">
        <is>
          <t>Chivas Guadalajara</t>
        </is>
      </c>
      <c r="C7" s="18" t="inlineStr">
        <is>
          <t>$160M</t>
        </is>
      </c>
      <c r="D7" s="18" t="n">
        <v>29</v>
      </c>
      <c r="E7" s="18" t="inlineStr">
        <is>
          <t>Grande</t>
        </is>
      </c>
      <c r="F7" s="18" t="n">
        <v>0</v>
      </c>
      <c r="G7" s="18" t="n">
        <v>1</v>
      </c>
      <c r="H7" s="18" t="n">
        <v>2</v>
      </c>
      <c r="I7" s="54" t="inlineStr">
        <is>
          <t>4.38</t>
        </is>
      </c>
      <c r="J7" s="1" t="n"/>
      <c r="K7" s="1" t="n"/>
      <c r="L7" s="1" t="n"/>
      <c r="M7" s="1" t="n"/>
      <c r="N7" s="1" t="n"/>
    </row>
    <row r="8" ht="20" customHeight="1">
      <c r="A8" s="1" t="n"/>
      <c r="B8" s="51" t="inlineStr">
        <is>
          <t>Pachuca</t>
        </is>
      </c>
      <c r="C8" s="21" t="inlineStr">
        <is>
          <t>$125M</t>
        </is>
      </c>
      <c r="D8" s="21" t="n">
        <v>26</v>
      </c>
      <c r="E8" s="21" t="inlineStr">
        <is>
          <t>Mediano</t>
        </is>
      </c>
      <c r="F8" s="21" t="n">
        <v>1</v>
      </c>
      <c r="G8" s="21" t="n">
        <v>2</v>
      </c>
      <c r="H8" s="21" t="n">
        <v>4</v>
      </c>
      <c r="I8" s="52" t="inlineStr">
        <is>
          <t>19.2</t>
        </is>
      </c>
      <c r="J8" s="1" t="n"/>
      <c r="K8" s="1" t="n"/>
      <c r="L8" s="1" t="n"/>
      <c r="M8" s="1" t="n"/>
      <c r="N8" s="1" t="n"/>
    </row>
    <row r="9" ht="20" customHeight="1">
      <c r="A9" s="1" t="n"/>
      <c r="B9" s="49" t="inlineStr">
        <is>
          <t>Atlas</t>
        </is>
      </c>
      <c r="C9" s="18" t="inlineStr">
        <is>
          <t>$110M</t>
        </is>
      </c>
      <c r="D9" s="18" t="n">
        <v>25</v>
      </c>
      <c r="E9" s="18" t="inlineStr">
        <is>
          <t>Mediano</t>
        </is>
      </c>
      <c r="F9" s="18" t="n">
        <v>2</v>
      </c>
      <c r="G9" s="18" t="n">
        <v>2</v>
      </c>
      <c r="H9" s="18" t="n">
        <v>3</v>
      </c>
      <c r="I9" s="50" t="inlineStr">
        <is>
          <t>29.55</t>
        </is>
      </c>
      <c r="J9" s="1" t="n"/>
      <c r="K9" s="1" t="n"/>
      <c r="L9" s="1" t="n"/>
      <c r="M9" s="1" t="n"/>
      <c r="N9" s="1" t="n"/>
    </row>
    <row r="10" ht="20" customHeight="1">
      <c r="A10" s="1" t="n"/>
      <c r="B10" s="55" t="inlineStr">
        <is>
          <t>Toluca</t>
        </is>
      </c>
      <c r="C10" s="21" t="inlineStr">
        <is>
          <t>$105M</t>
        </is>
      </c>
      <c r="D10" s="21" t="n">
        <v>27</v>
      </c>
      <c r="E10" s="21" t="inlineStr">
        <is>
          <t>Mediano</t>
        </is>
      </c>
      <c r="F10" s="21" t="n">
        <v>0</v>
      </c>
      <c r="G10" s="21" t="n">
        <v>1</v>
      </c>
      <c r="H10" s="21" t="n">
        <v>3</v>
      </c>
      <c r="I10" s="52" t="inlineStr">
        <is>
          <t>8.1</t>
        </is>
      </c>
      <c r="J10" s="1" t="n"/>
      <c r="K10" s="1" t="n"/>
      <c r="L10" s="1" t="n"/>
      <c r="M10" s="1" t="n"/>
      <c r="N10" s="1" t="n"/>
    </row>
    <row r="11" ht="20" customHeight="1">
      <c r="A11" s="1" t="n"/>
      <c r="B11" s="53" t="inlineStr">
        <is>
          <t>León</t>
        </is>
      </c>
      <c r="C11" s="18" t="inlineStr">
        <is>
          <t>$100M</t>
        </is>
      </c>
      <c r="D11" s="18" t="n">
        <v>26</v>
      </c>
      <c r="E11" s="18" t="inlineStr">
        <is>
          <t>Mediano</t>
        </is>
      </c>
      <c r="F11" s="18" t="n">
        <v>0</v>
      </c>
      <c r="G11" s="18" t="n">
        <v>1</v>
      </c>
      <c r="H11" s="18" t="n">
        <v>2</v>
      </c>
      <c r="I11" s="50" t="inlineStr">
        <is>
          <t>7.0</t>
        </is>
      </c>
      <c r="J11" s="1" t="n"/>
      <c r="K11" s="1" t="n"/>
      <c r="L11" s="1" t="n"/>
      <c r="M11" s="1" t="n"/>
      <c r="N11" s="1" t="n"/>
    </row>
    <row r="12" ht="20" customHeight="1">
      <c r="A12" s="1" t="n"/>
      <c r="B12" s="55" t="inlineStr">
        <is>
          <t>Pumas UNAM</t>
        </is>
      </c>
      <c r="C12" s="21" t="inlineStr">
        <is>
          <t>$95M</t>
        </is>
      </c>
      <c r="D12" s="21" t="n">
        <v>28</v>
      </c>
      <c r="E12" s="21" t="inlineStr">
        <is>
          <t>Mediano</t>
        </is>
      </c>
      <c r="F12" s="21" t="n">
        <v>0</v>
      </c>
      <c r="G12" s="21" t="n">
        <v>0</v>
      </c>
      <c r="H12" s="21" t="n">
        <v>2</v>
      </c>
      <c r="I12" s="56" t="inlineStr">
        <is>
          <t>3.16</t>
        </is>
      </c>
      <c r="J12" s="1" t="n"/>
      <c r="K12" s="1" t="n"/>
      <c r="L12" s="1" t="n"/>
      <c r="M12" s="1" t="n"/>
      <c r="N12" s="1" t="n"/>
    </row>
    <row r="13" ht="20" customHeight="1">
      <c r="A13" s="1" t="n"/>
      <c r="B13" s="53" t="inlineStr">
        <is>
          <t>Santos Laguna</t>
        </is>
      </c>
      <c r="C13" s="18" t="inlineStr">
        <is>
          <t>$90M</t>
        </is>
      </c>
      <c r="D13" s="18" t="n">
        <v>25</v>
      </c>
      <c r="E13" s="18" t="inlineStr">
        <is>
          <t>Mediano</t>
        </is>
      </c>
      <c r="F13" s="18" t="n">
        <v>0</v>
      </c>
      <c r="G13" s="18" t="n">
        <v>1</v>
      </c>
      <c r="H13" s="18" t="n">
        <v>2</v>
      </c>
      <c r="I13" s="50" t="inlineStr">
        <is>
          <t>7.78</t>
        </is>
      </c>
      <c r="J13" s="1" t="n"/>
      <c r="K13" s="1" t="n"/>
      <c r="L13" s="1" t="n"/>
      <c r="M13" s="1" t="n"/>
      <c r="N13" s="1" t="n"/>
    </row>
    <row r="14" ht="20" customHeight="1">
      <c r="A14" s="1" t="n"/>
      <c r="B14" s="55" t="inlineStr">
        <is>
          <t>Puebla</t>
        </is>
      </c>
      <c r="C14" s="21" t="inlineStr">
        <is>
          <t>$70M</t>
        </is>
      </c>
      <c r="D14" s="21" t="n">
        <v>23</v>
      </c>
      <c r="E14" s="21" t="inlineStr">
        <is>
          <t>Pequeño</t>
        </is>
      </c>
      <c r="F14" s="21" t="n">
        <v>0</v>
      </c>
      <c r="G14" s="21" t="n">
        <v>0</v>
      </c>
      <c r="H14" s="21" t="n">
        <v>1</v>
      </c>
      <c r="I14" s="56" t="inlineStr">
        <is>
          <t>2.14</t>
        </is>
      </c>
      <c r="J14" s="1" t="n"/>
      <c r="K14" s="1" t="n"/>
      <c r="L14" s="1" t="n"/>
      <c r="M14" s="1" t="n"/>
      <c r="N14" s="1" t="n"/>
    </row>
    <row r="15" ht="20" customHeight="1">
      <c r="A15" s="1" t="n"/>
      <c r="B15" s="53" t="inlineStr">
        <is>
          <t>Atlético San Luis</t>
        </is>
      </c>
      <c r="C15" s="18" t="inlineStr">
        <is>
          <t>$65M</t>
        </is>
      </c>
      <c r="D15" s="18" t="n">
        <v>22</v>
      </c>
      <c r="E15" s="18" t="inlineStr">
        <is>
          <t>Pequeño</t>
        </is>
      </c>
      <c r="F15" s="18" t="n">
        <v>0</v>
      </c>
      <c r="G15" s="18" t="n">
        <v>0</v>
      </c>
      <c r="H15" s="18" t="n">
        <v>1</v>
      </c>
      <c r="I15" s="54" t="inlineStr">
        <is>
          <t>2.31</t>
        </is>
      </c>
      <c r="J15" s="1" t="n"/>
      <c r="K15" s="1" t="n"/>
      <c r="L15" s="1" t="n"/>
      <c r="M15" s="1" t="n"/>
      <c r="N15" s="1" t="n"/>
    </row>
    <row r="16" ht="20" customHeight="1">
      <c r="A16" s="1" t="n"/>
      <c r="B16" s="55" t="inlineStr">
        <is>
          <t>Tijuana</t>
        </is>
      </c>
      <c r="C16" s="21" t="inlineStr">
        <is>
          <t>$60M</t>
        </is>
      </c>
      <c r="D16" s="21" t="n">
        <v>23</v>
      </c>
      <c r="E16" s="21" t="inlineStr">
        <is>
          <t>Pequeño</t>
        </is>
      </c>
      <c r="F16" s="21" t="n">
        <v>0</v>
      </c>
      <c r="G16" s="21" t="n">
        <v>0</v>
      </c>
      <c r="H16" s="21" t="n">
        <v>0</v>
      </c>
      <c r="I16" s="57" t="inlineStr">
        <is>
          <t>0.0</t>
        </is>
      </c>
      <c r="J16" s="1" t="n"/>
      <c r="K16" s="1" t="n"/>
      <c r="L16" s="1" t="n"/>
      <c r="M16" s="1" t="n"/>
      <c r="N16" s="1" t="n"/>
    </row>
    <row r="17" ht="20" customHeight="1">
      <c r="A17" s="1" t="n"/>
      <c r="B17" s="53" t="inlineStr">
        <is>
          <t>Necaxa</t>
        </is>
      </c>
      <c r="C17" s="18" t="inlineStr">
        <is>
          <t>$55M</t>
        </is>
      </c>
      <c r="D17" s="18" t="n">
        <v>21</v>
      </c>
      <c r="E17" s="18" t="inlineStr">
        <is>
          <t>Pequeño</t>
        </is>
      </c>
      <c r="F17" s="18" t="n">
        <v>0</v>
      </c>
      <c r="G17" s="18" t="n">
        <v>0</v>
      </c>
      <c r="H17" s="18" t="n">
        <v>0</v>
      </c>
      <c r="I17" s="58" t="inlineStr">
        <is>
          <t>0.0</t>
        </is>
      </c>
      <c r="J17" s="1" t="n"/>
      <c r="K17" s="1" t="n"/>
      <c r="L17" s="1" t="n"/>
      <c r="M17" s="1" t="n"/>
      <c r="N17" s="1" t="n"/>
    </row>
    <row r="18" ht="20" customHeight="1">
      <c r="A18" s="1" t="n"/>
      <c r="B18" s="55" t="inlineStr">
        <is>
          <t>Querétaro</t>
        </is>
      </c>
      <c r="C18" s="21" t="inlineStr">
        <is>
          <t>$52M</t>
        </is>
      </c>
      <c r="D18" s="21" t="n">
        <v>21</v>
      </c>
      <c r="E18" s="21" t="inlineStr">
        <is>
          <t>Pequeño</t>
        </is>
      </c>
      <c r="F18" s="21" t="n">
        <v>0</v>
      </c>
      <c r="G18" s="21" t="n">
        <v>0</v>
      </c>
      <c r="H18" s="21" t="n">
        <v>0</v>
      </c>
      <c r="I18" s="57" t="inlineStr">
        <is>
          <t>0.0</t>
        </is>
      </c>
      <c r="J18" s="1" t="n"/>
      <c r="K18" s="1" t="n"/>
      <c r="L18" s="1" t="n"/>
      <c r="M18" s="1" t="n"/>
      <c r="N18" s="1" t="n"/>
    </row>
    <row r="19" ht="20" customHeight="1">
      <c r="A19" s="1" t="n"/>
      <c r="B19" s="53" t="inlineStr">
        <is>
          <t>FC Juárez</t>
        </is>
      </c>
      <c r="C19" s="18" t="inlineStr">
        <is>
          <t>$50M</t>
        </is>
      </c>
      <c r="D19" s="18" t="n">
        <v>22</v>
      </c>
      <c r="E19" s="18" t="inlineStr">
        <is>
          <t>Pequeño</t>
        </is>
      </c>
      <c r="F19" s="18" t="n">
        <v>0</v>
      </c>
      <c r="G19" s="18" t="n">
        <v>0</v>
      </c>
      <c r="H19" s="18" t="n">
        <v>0</v>
      </c>
      <c r="I19" s="58" t="inlineStr">
        <is>
          <t>0.0</t>
        </is>
      </c>
      <c r="J19" s="1" t="n"/>
      <c r="K19" s="1" t="n"/>
      <c r="L19" s="1" t="n"/>
      <c r="M19" s="1" t="n"/>
      <c r="N19" s="1" t="n"/>
    </row>
    <row r="20" ht="20" customHeight="1">
      <c r="A20" s="1" t="n"/>
      <c r="B20" s="55" t="inlineStr">
        <is>
          <t>Mazatlán</t>
        </is>
      </c>
      <c r="C20" s="21" t="inlineStr">
        <is>
          <t>$48M</t>
        </is>
      </c>
      <c r="D20" s="21" t="n">
        <v>20</v>
      </c>
      <c r="E20" s="21" t="inlineStr">
        <is>
          <t>Pequeño</t>
        </is>
      </c>
      <c r="F20" s="21" t="n">
        <v>0</v>
      </c>
      <c r="G20" s="21" t="n">
        <v>0</v>
      </c>
      <c r="H20" s="21" t="n">
        <v>0</v>
      </c>
      <c r="I20" s="57" t="inlineStr">
        <is>
          <t>0.0</t>
        </is>
      </c>
      <c r="J20" s="1" t="n"/>
      <c r="K20" s="1" t="n"/>
      <c r="L20" s="1" t="n"/>
      <c r="M20" s="1" t="n"/>
      <c r="N20" s="1" t="n"/>
    </row>
    <row r="2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</row>
    <row r="23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</row>
    <row r="24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</row>
    <row r="26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</row>
    <row r="40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</row>
    <row r="4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</row>
    <row r="47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</row>
    <row r="4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</row>
    <row r="49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</row>
    <row r="50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</row>
    <row r="5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</row>
    <row r="52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</row>
    <row r="53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</row>
    <row r="54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</row>
    <row r="55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</row>
    <row r="56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</row>
    <row r="57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</row>
    <row r="58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</row>
    <row r="59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</row>
    <row r="60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</row>
  </sheetData>
  <mergeCells count="1">
    <mergeCell ref="B1:I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8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6" customWidth="1" min="2" max="2"/>
    <col width="28" customWidth="1" min="3" max="3"/>
    <col width="50" customWidth="1" min="4" max="4"/>
    <col width="18" customWidth="1" min="5" max="5"/>
    <col width="14" customWidth="1" min="6" max="6"/>
  </cols>
  <sheetData>
    <row r="1" ht="35" customHeight="1">
      <c r="A1" s="1" t="n"/>
      <c r="B1" s="59" t="inlineStr">
        <is>
          <t>🎯 HOJA DE RUTA ESTRATÉGICA PARA GANAR LA LIGA MX</t>
        </is>
      </c>
      <c r="G1" s="1" t="n"/>
      <c r="H1" s="1" t="n"/>
      <c r="I1" s="1" t="n"/>
      <c r="J1" s="1" t="n"/>
      <c r="K1" s="1" t="n"/>
      <c r="L1" s="1" t="n"/>
      <c r="M1" s="1" t="n"/>
      <c r="N1" s="1" t="n"/>
    </row>
    <row r="2" ht="28" customHeight="1">
      <c r="A2" s="1" t="n"/>
      <c r="B2" s="60" t="inlineStr">
        <is>
          <t>#</t>
        </is>
      </c>
      <c r="C2" s="60" t="inlineStr">
        <is>
          <t>PILAR ESTRATÉGICO</t>
        </is>
      </c>
      <c r="D2" s="60" t="inlineStr">
        <is>
          <t>DESCRIPCIÓN Y EVIDENCIA</t>
        </is>
      </c>
      <c r="E2" s="60" t="inlineStr">
        <is>
          <t>PRIORIDAD</t>
        </is>
      </c>
      <c r="F2" s="60" t="inlineStr">
        <is>
          <t>BENCHMARK</t>
        </is>
      </c>
      <c r="G2" s="1" t="n"/>
      <c r="H2" s="1" t="n"/>
      <c r="I2" s="1" t="n"/>
      <c r="J2" s="1" t="n"/>
      <c r="K2" s="1" t="n"/>
      <c r="L2" s="1" t="n"/>
      <c r="M2" s="1" t="n"/>
      <c r="N2" s="1" t="n"/>
    </row>
    <row r="3" ht="40" customHeight="1">
      <c r="A3" s="1" t="n"/>
      <c r="B3" s="61" t="inlineStr">
        <is>
          <t>1</t>
        </is>
      </c>
      <c r="C3" s="62" t="inlineStr">
        <is>
          <t>SOLIDEZ DEFENSIVA</t>
        </is>
      </c>
      <c r="D3" s="63" t="inlineStr">
        <is>
          <t>Mantener GC &lt; 14 en todo el torneo. Los últimos 4 campeones promediaron &lt;12 goles concedidos. Invertir en defensa central de primer nivel y portero top.</t>
        </is>
      </c>
      <c r="E3" s="64" t="inlineStr">
        <is>
          <t>🔑 CRÍTICO</t>
        </is>
      </c>
      <c r="F3" s="65" t="inlineStr">
        <is>
          <t>GC &lt; 14</t>
        </is>
      </c>
      <c r="G3" s="1" t="n"/>
      <c r="H3" s="1" t="n"/>
      <c r="I3" s="1" t="n"/>
      <c r="J3" s="1" t="n"/>
      <c r="K3" s="1" t="n"/>
      <c r="L3" s="1" t="n"/>
      <c r="M3" s="1" t="n"/>
      <c r="N3" s="1" t="n"/>
    </row>
    <row r="4" ht="40" customHeight="1">
      <c r="A4" s="1" t="n"/>
      <c r="B4" s="61" t="inlineStr">
        <is>
          <t>2</t>
        </is>
      </c>
      <c r="C4" s="62" t="inlineStr">
        <is>
          <t>EFICIENCIA OFENSIVA</t>
        </is>
      </c>
      <c r="D4" s="63" t="inlineStr">
        <is>
          <t>Mínimo 25 goles por torneo y &gt;6 tiros al marco por partido. La profundidad de ataque (2+ delanteros gol) separa campeones de semifinalistas.</t>
        </is>
      </c>
      <c r="E4" s="64" t="inlineStr">
        <is>
          <t>🔑 CRÍTICO</t>
        </is>
      </c>
      <c r="F4" s="65" t="inlineStr">
        <is>
          <t>GF &gt; 25</t>
        </is>
      </c>
      <c r="G4" s="1" t="n"/>
      <c r="H4" s="1" t="n"/>
      <c r="I4" s="1" t="n"/>
      <c r="J4" s="1" t="n"/>
      <c r="K4" s="1" t="n"/>
      <c r="L4" s="1" t="n"/>
      <c r="M4" s="1" t="n"/>
      <c r="N4" s="1" t="n"/>
    </row>
    <row r="5" ht="40" customHeight="1">
      <c r="A5" s="1" t="n"/>
      <c r="B5" s="66" t="inlineStr">
        <is>
          <t>3</t>
        </is>
      </c>
      <c r="C5" s="67" t="inlineStr">
        <is>
          <t>REGULARIDAD EN FASE REGULAR</t>
        </is>
      </c>
      <c r="D5" s="68" t="inlineStr">
        <is>
          <t>Terminar entre los 4 primeros lugares garantiza la llave más favorable en Liguilla. Efectividad &gt; 68% en fase regular es benchmark de campeones.</t>
        </is>
      </c>
      <c r="E5" s="69" t="inlineStr">
        <is>
          <t>⚠️ ALTO</t>
        </is>
      </c>
      <c r="F5" s="70" t="inlineStr">
        <is>
          <t>Top-4</t>
        </is>
      </c>
      <c r="G5" s="1" t="n"/>
      <c r="H5" s="1" t="n"/>
      <c r="I5" s="1" t="n"/>
      <c r="J5" s="1" t="n"/>
      <c r="K5" s="1" t="n"/>
      <c r="L5" s="1" t="n"/>
      <c r="M5" s="1" t="n"/>
      <c r="N5" s="1" t="n"/>
    </row>
    <row r="6" ht="40" customHeight="1">
      <c r="A6" s="1" t="n"/>
      <c r="B6" s="66" t="inlineStr">
        <is>
          <t>4</t>
        </is>
      </c>
      <c r="C6" s="71" t="inlineStr">
        <is>
          <t>RENDIMIENTO EN CASA</t>
        </is>
      </c>
      <c r="D6" s="72" t="inlineStr">
        <is>
          <t>Fortaleza de local es determinante: campeones pierden &lt;2 partidos en casa por torneo. El factor cancha en Liguilla es definitivo.</t>
        </is>
      </c>
      <c r="E6" s="69" t="inlineStr">
        <is>
          <t>⚠️ ALTO</t>
        </is>
      </c>
      <c r="F6" s="73" t="inlineStr">
        <is>
          <t>&lt;2 derrotas local</t>
        </is>
      </c>
      <c r="G6" s="1" t="n"/>
      <c r="H6" s="1" t="n"/>
      <c r="I6" s="1" t="n"/>
      <c r="J6" s="1" t="n"/>
      <c r="K6" s="1" t="n"/>
      <c r="L6" s="1" t="n"/>
      <c r="M6" s="1" t="n"/>
      <c r="N6" s="1" t="n"/>
    </row>
    <row r="7" ht="40" customHeight="1">
      <c r="A7" s="1" t="n"/>
      <c r="B7" s="74" t="inlineStr">
        <is>
          <t>5</t>
        </is>
      </c>
      <c r="C7" s="75" t="inlineStr">
        <is>
          <t>CONTROL DEL BALÓN</t>
        </is>
      </c>
      <c r="D7" s="68" t="inlineStr">
        <is>
          <t>Posesión promedio &gt;51% correlaciona con campeonatos. Juego de circulación y presión alta reduce errores defensivos propios.</t>
        </is>
      </c>
      <c r="E7" s="76" t="inlineStr">
        <is>
          <t>📊 MEDIO</t>
        </is>
      </c>
      <c r="F7" s="77" t="inlineStr">
        <is>
          <t>Pos &gt;51%</t>
        </is>
      </c>
      <c r="G7" s="1" t="n"/>
      <c r="H7" s="1" t="n"/>
      <c r="I7" s="1" t="n"/>
      <c r="J7" s="1" t="n"/>
      <c r="K7" s="1" t="n"/>
      <c r="L7" s="1" t="n"/>
      <c r="M7" s="1" t="n"/>
      <c r="N7" s="1" t="n"/>
    </row>
    <row r="8" ht="40" customHeight="1">
      <c r="A8" s="1" t="n"/>
      <c r="B8" s="74" t="inlineStr">
        <is>
          <t>6</t>
        </is>
      </c>
      <c r="C8" s="78" t="inlineStr">
        <is>
          <t>PLANTILLA PROFUNDA</t>
        </is>
      </c>
      <c r="D8" s="72" t="inlineStr">
        <is>
          <t>Los torneos cortos (17 jornadas + liguilla) exigen rotación de calidad. Equipos con 18-20 jugadores de nivel Premier compiten mejor.</t>
        </is>
      </c>
      <c r="E8" s="76" t="inlineStr">
        <is>
          <t>📊 MEDIO</t>
        </is>
      </c>
      <c r="F8" s="79" t="inlineStr">
        <is>
          <t>18+ jugadores</t>
        </is>
      </c>
      <c r="G8" s="1" t="n"/>
      <c r="H8" s="1" t="n"/>
      <c r="I8" s="1" t="n"/>
      <c r="J8" s="1" t="n"/>
      <c r="K8" s="1" t="n"/>
      <c r="L8" s="1" t="n"/>
      <c r="M8" s="1" t="n"/>
      <c r="N8" s="1" t="n"/>
    </row>
    <row r="9" ht="40" customHeight="1">
      <c r="A9" s="1" t="n"/>
      <c r="B9" s="80" t="inlineStr">
        <is>
          <t>7</t>
        </is>
      </c>
      <c r="C9" s="81" t="inlineStr">
        <is>
          <t>INVERSIÓN INTELIGENTE</t>
        </is>
      </c>
      <c r="D9" s="68" t="inlineStr">
        <is>
          <t>No necesariamente el mayor gasto gana (Atlas 2021-2022 con $110M). ROI deportivo depende de scouting, desarrollo y retención de talento.</t>
        </is>
      </c>
      <c r="E9" s="82" t="inlineStr">
        <is>
          <t>💡 ESTRATÉGICO</t>
        </is>
      </c>
      <c r="F9" s="83" t="inlineStr">
        <is>
          <t>ROI &gt; 5.0</t>
        </is>
      </c>
      <c r="G9" s="1" t="n"/>
      <c r="H9" s="1" t="n"/>
      <c r="I9" s="1" t="n"/>
      <c r="J9" s="1" t="n"/>
      <c r="K9" s="1" t="n"/>
      <c r="L9" s="1" t="n"/>
      <c r="M9" s="1" t="n"/>
      <c r="N9" s="1" t="n"/>
    </row>
    <row r="10" ht="40" customHeight="1">
      <c r="A10" s="1" t="n"/>
      <c r="B10" s="80" t="inlineStr">
        <is>
          <t>8</t>
        </is>
      </c>
      <c r="C10" s="84" t="inlineStr">
        <is>
          <t>ENTRENADOR EXPERIMENTADO</t>
        </is>
      </c>
      <c r="D10" s="72" t="inlineStr">
        <is>
          <t>Todos los campeones 2021-2024 tuvieron DT con &gt;2 años en el equipo o experiencia internacional comprobada. La continuidad es clave.</t>
        </is>
      </c>
      <c r="E10" s="82" t="inlineStr">
        <is>
          <t>💡 ESTRATÉGICO</t>
        </is>
      </c>
      <c r="F10" s="85" t="inlineStr">
        <is>
          <t>DT &gt;2 años</t>
        </is>
      </c>
      <c r="G10" s="1" t="n"/>
      <c r="H10" s="1" t="n"/>
      <c r="I10" s="1" t="n"/>
      <c r="J10" s="1" t="n"/>
      <c r="K10" s="1" t="n"/>
      <c r="L10" s="1" t="n"/>
      <c r="M10" s="1" t="n"/>
      <c r="N10" s="1" t="n"/>
    </row>
    <row r="11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</row>
    <row r="12" ht="10" customHeight="1">
      <c r="A12" s="1" t="n"/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</row>
    <row r="13" ht="20" customHeight="1">
      <c r="A13" s="1" t="n"/>
      <c r="B13" s="86" t="inlineStr">
        <is>
          <t>📌 CONCLUSIÓN DEL ANÁLISIS: Club América (2023-2024) demostró la fórmula perfecta: inversión alta + continuidad de proyecto + plantilla profunda + DT consolidado = 3 títulos consecutivos. La correlación entre GC&lt;12, efectividad &gt;78% y posesión &gt;56% define a los equipos que levantan el trofeo. El dato más revelador: NINGÚN campeón 2021-2024 terminó fuera del Top-2 en fase regular.</t>
        </is>
      </c>
      <c r="G13" s="1" t="n"/>
      <c r="H13" s="1" t="n"/>
      <c r="I13" s="1" t="n"/>
      <c r="J13" s="1" t="n"/>
      <c r="K13" s="1" t="n"/>
      <c r="L13" s="1" t="n"/>
      <c r="M13" s="1" t="n"/>
      <c r="N13" s="1" t="n"/>
    </row>
    <row r="14" ht="20" customHeight="1">
      <c r="A14" s="1" t="n"/>
      <c r="G14" s="1" t="n"/>
      <c r="H14" s="1" t="n"/>
      <c r="I14" s="1" t="n"/>
      <c r="J14" s="1" t="n"/>
      <c r="K14" s="1" t="n"/>
      <c r="L14" s="1" t="n"/>
      <c r="M14" s="1" t="n"/>
      <c r="N14" s="1" t="n"/>
    </row>
    <row r="15" ht="20" customHeight="1">
      <c r="A15" s="1" t="n"/>
      <c r="G15" s="1" t="n"/>
      <c r="H15" s="1" t="n"/>
      <c r="I15" s="1" t="n"/>
      <c r="J15" s="1" t="n"/>
      <c r="K15" s="1" t="n"/>
      <c r="L15" s="1" t="n"/>
      <c r="M15" s="1" t="n"/>
      <c r="N15" s="1" t="n"/>
    </row>
    <row r="16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</row>
    <row r="20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</row>
    <row r="2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</row>
    <row r="23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</row>
    <row r="24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</row>
    <row r="26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</row>
    <row r="40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</row>
    <row r="4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</row>
    <row r="47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</row>
    <row r="4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</row>
    <row r="49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</row>
    <row r="50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</row>
    <row r="5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</row>
    <row r="52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</row>
    <row r="53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</row>
    <row r="54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</row>
    <row r="55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</row>
    <row r="56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</row>
    <row r="57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</row>
    <row r="58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</row>
    <row r="59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</row>
    <row r="60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</row>
    <row r="61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</row>
    <row r="62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</row>
    <row r="63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</row>
    <row r="64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</row>
    <row r="65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</row>
    <row r="66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</row>
    <row r="67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</row>
    <row r="68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</row>
    <row r="69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</row>
    <row r="70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</row>
    <row r="71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</row>
    <row r="72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</row>
    <row r="73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</row>
    <row r="74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</row>
    <row r="75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</row>
    <row r="76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</row>
    <row r="77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</row>
    <row r="78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</row>
    <row r="79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</row>
    <row r="80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</row>
  </sheetData>
  <mergeCells count="2">
    <mergeCell ref="B13:F15"/>
    <mergeCell ref="B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2026-03-04T23:45:11Z</dcterms:created>
  <dcterms:modified xmlns:dcterms="http://purl.org/dc/terms/" xmlns:xsi="http://www.w3.org/2001/XMLSchema-instance" xsi:type="dcterms:W3CDTF">2026-03-04T23:45:11Z</dcterms:modified>
</cp:coreProperties>
</file>